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SKAPEE work 21 july 2021\draft paper 5 july 2022\Intelligence based medicine 15 jan 2026\submission 15 jan 2026\final 15 Jan 2026\Appendices\"/>
    </mc:Choice>
  </mc:AlternateContent>
  <xr:revisionPtr revIDLastSave="0" documentId="13_ncr:1_{CC6A69B5-2488-4AC8-82C2-E727B074618A}" xr6:coauthVersionLast="47" xr6:coauthVersionMax="47" xr10:uidLastSave="{00000000-0000-0000-0000-000000000000}"/>
  <bookViews>
    <workbookView xWindow="-98" yWindow="-98" windowWidth="21795" windowHeight="12975" xr2:uid="{0B99912B-C677-449D-9E06-0F188D05B93B}"/>
  </bookViews>
  <sheets>
    <sheet name="Kraken2-BV-BR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8" i="2" l="1"/>
  <c r="E67" i="2"/>
  <c r="E63" i="2"/>
  <c r="E62" i="2"/>
  <c r="E66" i="2"/>
  <c r="E64" i="2"/>
  <c r="E65" i="2"/>
  <c r="E59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6" i="2"/>
  <c r="E61" i="2" s="1"/>
  <c r="E60" i="2" l="1"/>
</calcChain>
</file>

<file path=xl/sharedStrings.xml><?xml version="1.0" encoding="utf-8"?>
<sst xmlns="http://schemas.openxmlformats.org/spreadsheetml/2006/main" count="243" uniqueCount="113">
  <si>
    <t>SRR25438750</t>
  </si>
  <si>
    <t>Escherichia coli</t>
  </si>
  <si>
    <t>SUCCESS</t>
  </si>
  <si>
    <t>SRR25573008</t>
  </si>
  <si>
    <t>SRR26135184</t>
  </si>
  <si>
    <t>Pseudomonas aeruginosa</t>
  </si>
  <si>
    <t>SRR26412308</t>
  </si>
  <si>
    <t>Klebsiella pneumoniae</t>
  </si>
  <si>
    <t>SRR26809132</t>
  </si>
  <si>
    <t>Staphylococcus aureus</t>
  </si>
  <si>
    <t>SRR28129145</t>
  </si>
  <si>
    <t>SRR28554255</t>
  </si>
  <si>
    <t>SRR28625656</t>
  </si>
  <si>
    <t>Enterococcus faecium</t>
  </si>
  <si>
    <t>SRR28813410</t>
  </si>
  <si>
    <t>SRR31034632</t>
  </si>
  <si>
    <t>SRR35304775</t>
  </si>
  <si>
    <t>Enterobacter cloacae</t>
  </si>
  <si>
    <t>SRR35320458</t>
  </si>
  <si>
    <t>SRR35323168</t>
  </si>
  <si>
    <t>SRR35327908</t>
  </si>
  <si>
    <t>SRR35329904</t>
  </si>
  <si>
    <t>SRR35351752</t>
  </si>
  <si>
    <t>SRR35366030</t>
  </si>
  <si>
    <t>SRR35371573</t>
  </si>
  <si>
    <t>Acinetobacter baumannii</t>
  </si>
  <si>
    <t>SRR35371574</t>
  </si>
  <si>
    <t>SRR35371988</t>
  </si>
  <si>
    <t>SRR35385940</t>
  </si>
  <si>
    <t>SRR35385944</t>
  </si>
  <si>
    <t>SRR35385945</t>
  </si>
  <si>
    <t>Homo sapiens</t>
  </si>
  <si>
    <t>SRR387636</t>
  </si>
  <si>
    <t>Staphylococcus epidermidis</t>
  </si>
  <si>
    <t>SRR496611</t>
  </si>
  <si>
    <t>SRR5100334</t>
  </si>
  <si>
    <t>SRR5519762</t>
  </si>
  <si>
    <t>SRR5519805</t>
  </si>
  <si>
    <t>SRR5891477</t>
  </si>
  <si>
    <t>SRR5891487</t>
  </si>
  <si>
    <t>Acinetobacter sp</t>
  </si>
  <si>
    <t>SRR5891499</t>
  </si>
  <si>
    <t>SRR6650709</t>
  </si>
  <si>
    <t>Mycobacterium tuberculosis</t>
  </si>
  <si>
    <t>SRR7131036</t>
  </si>
  <si>
    <t>SRR8526667</t>
  </si>
  <si>
    <t>Filename</t>
  </si>
  <si>
    <t>BV-BRC species name</t>
  </si>
  <si>
    <t>Status</t>
  </si>
  <si>
    <t>DRR553078</t>
  </si>
  <si>
    <t>SRR014845</t>
  </si>
  <si>
    <t>Staphylococcus caprae</t>
  </si>
  <si>
    <t>SRR064411</t>
  </si>
  <si>
    <t>bacillus sp</t>
  </si>
  <si>
    <t>SRR10270828</t>
  </si>
  <si>
    <t>SRR11187851</t>
  </si>
  <si>
    <t>SRR11976330</t>
  </si>
  <si>
    <t>SRR12395362</t>
  </si>
  <si>
    <t>SRR12395398</t>
  </si>
  <si>
    <t>SRR12395407</t>
  </si>
  <si>
    <t>SRR1269560</t>
  </si>
  <si>
    <t>SRR13481122</t>
  </si>
  <si>
    <t>SRR13717242</t>
  </si>
  <si>
    <t>SRR13717344</t>
  </si>
  <si>
    <t>SRR1635675</t>
  </si>
  <si>
    <t>SRR18665484</t>
  </si>
  <si>
    <t>SRR25119414</t>
  </si>
  <si>
    <t>Organism Name extracted from NCBI/SRA metadata</t>
  </si>
  <si>
    <t>Staphylococcus caprae M23864:W1</t>
  </si>
  <si>
    <t>Bacillus subtilis</t>
  </si>
  <si>
    <t>Enterobacter hormaechei subsp. xiangfangensis</t>
  </si>
  <si>
    <t>air metagenome</t>
  </si>
  <si>
    <t>Enterobacter hormaechei</t>
  </si>
  <si>
    <t>Staphylococcus epidermidis 14.1.R1.SE</t>
  </si>
  <si>
    <t>Staphylococcus epidermidis NIH04008</t>
  </si>
  <si>
    <t>Mycobacterium canetti</t>
  </si>
  <si>
    <t xml:space="preserve">Appendix G: Kraken2 Benchmark Results using BV-BRC Web App (Refseq: bacteria, archaea), source: https://www.bv-brc.org/app/TaxonomicClassification </t>
  </si>
  <si>
    <t>Time in Seconds</t>
  </si>
  <si>
    <t>Time (hh:mm:ss)</t>
  </si>
  <si>
    <t>Size (MB)</t>
  </si>
  <si>
    <t>Summary</t>
  </si>
  <si>
    <t>Miss-Classified %</t>
  </si>
  <si>
    <t>Total files</t>
  </si>
  <si>
    <t>Total time (s)</t>
  </si>
  <si>
    <t>Avg time (s)</t>
  </si>
  <si>
    <t>Max RAM (KB)</t>
  </si>
  <si>
    <t>Avg CPU %</t>
  </si>
  <si>
    <t>Successful</t>
  </si>
  <si>
    <t>PeakGPU %</t>
  </si>
  <si>
    <t>Total file size (MB)</t>
  </si>
  <si>
    <t>~6.7 hours</t>
  </si>
  <si>
    <t>~7 GB</t>
  </si>
  <si>
    <t>value</t>
  </si>
  <si>
    <t>Hyper-parameters used for Kraken2 web app run:</t>
  </si>
  <si>
    <t xml:space="preserve">Parameter </t>
  </si>
  <si>
    <t>Peak RAM (KB)</t>
  </si>
  <si>
    <t>Peak GPU %</t>
  </si>
  <si>
    <t>~0 MB</t>
  </si>
  <si>
    <t>S.No.</t>
  </si>
  <si>
    <t>5 out of 50</t>
  </si>
  <si>
    <t>Not Known</t>
  </si>
  <si>
    <t>No organism identified</t>
  </si>
  <si>
    <t>Max File Size (MB)</t>
  </si>
  <si>
    <t>Min File Size (MB)</t>
  </si>
  <si>
    <t>Sequencing types</t>
  </si>
  <si>
    <t>Confidence interval</t>
  </si>
  <si>
    <t>WGS</t>
  </si>
  <si>
    <t>Database</t>
  </si>
  <si>
    <t>Kraken standard database</t>
  </si>
  <si>
    <t>Filter Host Reads</t>
  </si>
  <si>
    <t>None</t>
  </si>
  <si>
    <t xml:space="preserve">Analysis type </t>
  </si>
  <si>
    <t>Species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</si>
</sst>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14009]hh:mm:ss;@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66FF"/>
      <name val="Arial"/>
      <family val="2"/>
    </font>
    <font>
      <sz val="10"/>
      <color theme="1"/>
      <name val="Arial"/>
      <family val="2"/>
    </font>
    <font>
      <b/>
      <sz val="14"/>
      <color rgb="FF0066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name val="Arial"/>
      <family val="2"/>
    </font>
    <font>
      <sz val="8"/>
      <name val="Aptos Narrow"/>
      <family val="2"/>
      <scheme val="minor"/>
    </font>
    <font>
      <b/>
      <sz val="11"/>
      <name val="Arial"/>
      <family val="2"/>
    </font>
    <font>
      <b/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0"/>
      <color rgb="FF0066FF"/>
      <name val="Arial"/>
      <family val="2"/>
    </font>
    <font>
      <b/>
      <sz val="11"/>
      <color rgb="FF0066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99663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FFFFFF"/>
      </patternFill>
    </fill>
    <fill>
      <patternFill patternType="solid">
        <fgColor rgb="FFEDF4FB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7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9" fillId="7" borderId="0" xfId="0" applyFont="1" applyFill="1"/>
    <xf numFmtId="4" fontId="3" fillId="0" borderId="0" xfId="0" applyNumberFormat="1" applyFont="1"/>
    <xf numFmtId="0" fontId="1" fillId="0" borderId="0" xfId="0" applyFont="1"/>
    <xf numFmtId="0" fontId="13" fillId="8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8" fillId="0" borderId="1" xfId="0" applyFont="1" applyBorder="1"/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8" fillId="0" borderId="1" xfId="0" applyNumberFormat="1" applyFont="1" applyBorder="1"/>
    <xf numFmtId="2" fontId="8" fillId="0" borderId="1" xfId="0" applyNumberFormat="1" applyFont="1" applyBorder="1"/>
    <xf numFmtId="0" fontId="0" fillId="0" borderId="1" xfId="0" applyBorder="1"/>
    <xf numFmtId="0" fontId="6" fillId="4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/>
    <xf numFmtId="2" fontId="0" fillId="0" borderId="1" xfId="0" applyNumberFormat="1" applyBorder="1"/>
    <xf numFmtId="0" fontId="6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14" fillId="0" borderId="1" xfId="0" applyFont="1" applyBorder="1"/>
    <xf numFmtId="0" fontId="15" fillId="0" borderId="1" xfId="0" applyFont="1" applyBorder="1"/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165" fontId="15" fillId="0" borderId="1" xfId="0" applyNumberFormat="1" applyFont="1" applyBorder="1"/>
    <xf numFmtId="2" fontId="15" fillId="0" borderId="1" xfId="0" applyNumberFormat="1" applyFont="1" applyBorder="1"/>
    <xf numFmtId="0" fontId="15" fillId="0" borderId="0" xfId="0" applyFont="1"/>
    <xf numFmtId="0" fontId="5" fillId="4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/>
    <xf numFmtId="164" fontId="6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0" fontId="16" fillId="0" borderId="1" xfId="0" applyFont="1" applyBorder="1"/>
    <xf numFmtId="165" fontId="16" fillId="0" borderId="1" xfId="0" applyNumberFormat="1" applyFont="1" applyBorder="1"/>
    <xf numFmtId="9" fontId="0" fillId="0" borderId="0" xfId="0" applyNumberFormat="1"/>
    <xf numFmtId="0" fontId="17" fillId="0" borderId="0" xfId="0" applyFont="1"/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33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AEE4-E457-4745-8BB3-160B588E538C}">
  <dimension ref="A3:K68"/>
  <sheetViews>
    <sheetView tabSelected="1" workbookViewId="0">
      <selection activeCell="A3" sqref="A3"/>
    </sheetView>
  </sheetViews>
  <sheetFormatPr defaultRowHeight="14.25" x14ac:dyDescent="0.45"/>
  <cols>
    <col min="2" max="2" width="16.9296875" customWidth="1"/>
    <col min="3" max="3" width="27.73046875" customWidth="1"/>
    <col min="4" max="4" width="30.73046875" customWidth="1"/>
    <col min="5" max="5" width="9.86328125" customWidth="1"/>
    <col min="6" max="6" width="11.19921875" customWidth="1"/>
    <col min="7" max="7" width="10.33203125" customWidth="1"/>
    <col min="8" max="8" width="10.06640625" customWidth="1"/>
    <col min="9" max="9" width="7" customWidth="1"/>
  </cols>
  <sheetData>
    <row r="3" spans="1:11" ht="18" x14ac:dyDescent="0.55000000000000004">
      <c r="B3" s="1" t="s">
        <v>76</v>
      </c>
    </row>
    <row r="5" spans="1:11" ht="26.25" x14ac:dyDescent="0.45">
      <c r="A5" s="8" t="s">
        <v>98</v>
      </c>
      <c r="B5" s="9" t="s">
        <v>46</v>
      </c>
      <c r="C5" s="9" t="s">
        <v>47</v>
      </c>
      <c r="D5" s="9" t="s">
        <v>67</v>
      </c>
      <c r="E5" s="10" t="s">
        <v>79</v>
      </c>
      <c r="F5" s="9" t="s">
        <v>78</v>
      </c>
      <c r="G5" s="9" t="s">
        <v>77</v>
      </c>
      <c r="H5" s="10" t="s">
        <v>95</v>
      </c>
      <c r="I5" s="10" t="s">
        <v>86</v>
      </c>
      <c r="J5" s="10" t="s">
        <v>96</v>
      </c>
      <c r="K5" s="9" t="s">
        <v>48</v>
      </c>
    </row>
    <row r="6" spans="1:11" s="33" customFormat="1" x14ac:dyDescent="0.45">
      <c r="A6" s="27">
        <v>1</v>
      </c>
      <c r="B6" s="28" t="s">
        <v>49</v>
      </c>
      <c r="C6" s="28" t="s">
        <v>40</v>
      </c>
      <c r="D6" s="29" t="s">
        <v>25</v>
      </c>
      <c r="E6" s="30">
        <v>107.82599999999999</v>
      </c>
      <c r="F6" s="31">
        <v>1.6666666666666668E-3</v>
      </c>
      <c r="G6" s="32">
        <f>F6*86400</f>
        <v>144</v>
      </c>
      <c r="H6" s="32"/>
      <c r="I6" s="32"/>
      <c r="J6" s="28"/>
      <c r="K6" s="28" t="s">
        <v>2</v>
      </c>
    </row>
    <row r="7" spans="1:11" x14ac:dyDescent="0.45">
      <c r="A7" s="11">
        <v>2</v>
      </c>
      <c r="B7" s="17" t="s">
        <v>50</v>
      </c>
      <c r="C7" s="17" t="s">
        <v>51</v>
      </c>
      <c r="D7" s="18" t="s">
        <v>68</v>
      </c>
      <c r="E7" s="19">
        <v>25.597999999999999</v>
      </c>
      <c r="F7" s="20">
        <v>2.3726851851851851E-3</v>
      </c>
      <c r="G7" s="21">
        <f t="shared" ref="G7:G55" si="0">F7*86400</f>
        <v>205</v>
      </c>
      <c r="H7" s="21"/>
      <c r="I7" s="21"/>
      <c r="J7" s="17"/>
      <c r="K7" s="17" t="s">
        <v>2</v>
      </c>
    </row>
    <row r="8" spans="1:11" s="33" customFormat="1" x14ac:dyDescent="0.45">
      <c r="A8" s="27">
        <v>3</v>
      </c>
      <c r="B8" s="28" t="s">
        <v>52</v>
      </c>
      <c r="C8" s="28" t="s">
        <v>53</v>
      </c>
      <c r="D8" s="29" t="s">
        <v>69</v>
      </c>
      <c r="E8" s="30">
        <v>21.997</v>
      </c>
      <c r="F8" s="31">
        <v>2.5694444444444445E-3</v>
      </c>
      <c r="G8" s="32">
        <f t="shared" si="0"/>
        <v>222</v>
      </c>
      <c r="H8" s="32"/>
      <c r="I8" s="32"/>
      <c r="J8" s="28"/>
      <c r="K8" s="28" t="s">
        <v>2</v>
      </c>
    </row>
    <row r="9" spans="1:11" x14ac:dyDescent="0.45">
      <c r="A9" s="11">
        <v>4</v>
      </c>
      <c r="B9" s="17" t="s">
        <v>54</v>
      </c>
      <c r="C9" s="17" t="s">
        <v>13</v>
      </c>
      <c r="D9" s="18" t="s">
        <v>13</v>
      </c>
      <c r="E9" s="19">
        <v>331.363</v>
      </c>
      <c r="F9" s="20">
        <v>4.6759259259259263E-3</v>
      </c>
      <c r="G9" s="21">
        <f t="shared" si="0"/>
        <v>404.00000000000006</v>
      </c>
      <c r="H9" s="21"/>
      <c r="I9" s="21"/>
      <c r="J9" s="17"/>
      <c r="K9" s="17" t="s">
        <v>2</v>
      </c>
    </row>
    <row r="10" spans="1:11" x14ac:dyDescent="0.45">
      <c r="A10" s="11">
        <v>5</v>
      </c>
      <c r="B10" s="17" t="s">
        <v>55</v>
      </c>
      <c r="C10" s="17" t="s">
        <v>9</v>
      </c>
      <c r="D10" s="22" t="s">
        <v>9</v>
      </c>
      <c r="E10" s="23">
        <v>154.83699999999999</v>
      </c>
      <c r="F10" s="20">
        <v>4.0162037037037041E-3</v>
      </c>
      <c r="G10" s="21">
        <f t="shared" si="0"/>
        <v>347.00000000000006</v>
      </c>
      <c r="H10" s="21"/>
      <c r="I10" s="21"/>
      <c r="J10" s="17"/>
      <c r="K10" s="17" t="s">
        <v>2</v>
      </c>
    </row>
    <row r="11" spans="1:11" x14ac:dyDescent="0.45">
      <c r="A11" s="11">
        <v>6</v>
      </c>
      <c r="B11" s="17" t="s">
        <v>56</v>
      </c>
      <c r="C11" s="17" t="s">
        <v>9</v>
      </c>
      <c r="D11" s="18" t="s">
        <v>9</v>
      </c>
      <c r="E11" s="19">
        <v>582.49099999999999</v>
      </c>
      <c r="F11" s="20">
        <v>7.1180555555555554E-3</v>
      </c>
      <c r="G11" s="21">
        <f t="shared" si="0"/>
        <v>615</v>
      </c>
      <c r="H11" s="21"/>
      <c r="I11" s="21"/>
      <c r="J11" s="17"/>
      <c r="K11" s="17" t="s">
        <v>2</v>
      </c>
    </row>
    <row r="12" spans="1:11" x14ac:dyDescent="0.45">
      <c r="A12" s="11">
        <v>7</v>
      </c>
      <c r="B12" s="17" t="s">
        <v>57</v>
      </c>
      <c r="C12" s="17" t="s">
        <v>43</v>
      </c>
      <c r="D12" s="22" t="s">
        <v>43</v>
      </c>
      <c r="E12" s="23">
        <v>324.904</v>
      </c>
      <c r="F12" s="20">
        <v>1.1319444444444444E-2</v>
      </c>
      <c r="G12" s="21">
        <f t="shared" si="0"/>
        <v>978</v>
      </c>
      <c r="H12" s="21"/>
      <c r="I12" s="21"/>
      <c r="J12" s="17"/>
      <c r="K12" s="17" t="s">
        <v>2</v>
      </c>
    </row>
    <row r="13" spans="1:11" x14ac:dyDescent="0.45">
      <c r="A13" s="11">
        <v>8</v>
      </c>
      <c r="B13" s="17" t="s">
        <v>58</v>
      </c>
      <c r="C13" s="17" t="s">
        <v>43</v>
      </c>
      <c r="D13" s="18" t="s">
        <v>43</v>
      </c>
      <c r="E13" s="19">
        <v>5.431</v>
      </c>
      <c r="F13" s="20">
        <v>9.4212962962962957E-3</v>
      </c>
      <c r="G13" s="21">
        <f t="shared" si="0"/>
        <v>814</v>
      </c>
      <c r="H13" s="21"/>
      <c r="I13" s="21"/>
      <c r="J13" s="17"/>
      <c r="K13" s="17" t="s">
        <v>2</v>
      </c>
    </row>
    <row r="14" spans="1:11" x14ac:dyDescent="0.45">
      <c r="A14" s="11">
        <v>9</v>
      </c>
      <c r="B14" s="17" t="s">
        <v>59</v>
      </c>
      <c r="C14" s="17" t="s">
        <v>43</v>
      </c>
      <c r="D14" s="22" t="s">
        <v>43</v>
      </c>
      <c r="E14" s="23">
        <v>234.38399999999999</v>
      </c>
      <c r="F14" s="20">
        <v>1.0428240740740741E-2</v>
      </c>
      <c r="G14" s="21">
        <f t="shared" si="0"/>
        <v>901</v>
      </c>
      <c r="H14" s="21"/>
      <c r="I14" s="21"/>
      <c r="J14" s="17"/>
      <c r="K14" s="17" t="s">
        <v>2</v>
      </c>
    </row>
    <row r="15" spans="1:11" x14ac:dyDescent="0.45">
      <c r="A15" s="11">
        <v>10</v>
      </c>
      <c r="B15" s="17" t="s">
        <v>60</v>
      </c>
      <c r="C15" s="17" t="s">
        <v>13</v>
      </c>
      <c r="D15" s="18" t="s">
        <v>13</v>
      </c>
      <c r="E15" s="19">
        <v>393.84500000000003</v>
      </c>
      <c r="F15" s="20">
        <v>1.6041666666666666E-2</v>
      </c>
      <c r="G15" s="21">
        <f t="shared" si="0"/>
        <v>1386</v>
      </c>
      <c r="H15" s="21"/>
      <c r="I15" s="21"/>
      <c r="J15" s="17"/>
      <c r="K15" s="17" t="s">
        <v>2</v>
      </c>
    </row>
    <row r="16" spans="1:11" x14ac:dyDescent="0.45">
      <c r="A16" s="11">
        <v>11</v>
      </c>
      <c r="B16" s="17" t="s">
        <v>61</v>
      </c>
      <c r="C16" s="17" t="s">
        <v>13</v>
      </c>
      <c r="D16" s="22" t="s">
        <v>13</v>
      </c>
      <c r="E16" s="23">
        <v>62.878999999999998</v>
      </c>
      <c r="F16" s="20">
        <v>1.5335648148148149E-2</v>
      </c>
      <c r="G16" s="21">
        <f t="shared" si="0"/>
        <v>1325</v>
      </c>
      <c r="H16" s="21"/>
      <c r="I16" s="21"/>
      <c r="J16" s="17"/>
      <c r="K16" s="17" t="s">
        <v>2</v>
      </c>
    </row>
    <row r="17" spans="1:11" x14ac:dyDescent="0.45">
      <c r="A17" s="11">
        <v>12</v>
      </c>
      <c r="B17" s="17" t="s">
        <v>62</v>
      </c>
      <c r="C17" s="17" t="s">
        <v>13</v>
      </c>
      <c r="D17" s="18" t="s">
        <v>13</v>
      </c>
      <c r="E17" s="19">
        <v>76.010999999999996</v>
      </c>
      <c r="F17" s="20">
        <v>1.2037037037037038E-3</v>
      </c>
      <c r="G17" s="21">
        <f t="shared" si="0"/>
        <v>104.00000000000001</v>
      </c>
      <c r="H17" s="21"/>
      <c r="I17" s="21"/>
      <c r="J17" s="17"/>
      <c r="K17" s="17" t="s">
        <v>2</v>
      </c>
    </row>
    <row r="18" spans="1:11" x14ac:dyDescent="0.45">
      <c r="A18" s="11">
        <v>13</v>
      </c>
      <c r="B18" s="17" t="s">
        <v>63</v>
      </c>
      <c r="C18" s="17" t="s">
        <v>13</v>
      </c>
      <c r="D18" s="22" t="s">
        <v>13</v>
      </c>
      <c r="E18" s="23">
        <v>72.632999999999996</v>
      </c>
      <c r="F18" s="20">
        <v>1.3194444444444445E-3</v>
      </c>
      <c r="G18" s="21">
        <f t="shared" si="0"/>
        <v>114</v>
      </c>
      <c r="H18" s="21"/>
      <c r="I18" s="21"/>
      <c r="J18" s="17"/>
      <c r="K18" s="17" t="s">
        <v>2</v>
      </c>
    </row>
    <row r="19" spans="1:11" s="2" customFormat="1" ht="26.25" x14ac:dyDescent="0.45">
      <c r="A19" s="11">
        <v>14</v>
      </c>
      <c r="B19" s="12" t="s">
        <v>64</v>
      </c>
      <c r="C19" s="12" t="s">
        <v>17</v>
      </c>
      <c r="D19" s="26" t="s">
        <v>70</v>
      </c>
      <c r="E19" s="25">
        <v>22.132999999999999</v>
      </c>
      <c r="F19" s="15">
        <v>9.3055555555555548E-3</v>
      </c>
      <c r="G19" s="16">
        <f t="shared" si="0"/>
        <v>803.99999999999989</v>
      </c>
      <c r="H19" s="16"/>
      <c r="I19" s="16"/>
      <c r="J19" s="12"/>
      <c r="K19" s="12" t="s">
        <v>2</v>
      </c>
    </row>
    <row r="20" spans="1:11" x14ac:dyDescent="0.45">
      <c r="A20" s="11">
        <v>15</v>
      </c>
      <c r="B20" s="17" t="s">
        <v>65</v>
      </c>
      <c r="C20" s="17" t="s">
        <v>43</v>
      </c>
      <c r="D20" s="22" t="s">
        <v>43</v>
      </c>
      <c r="E20" s="23">
        <v>116.718</v>
      </c>
      <c r="F20" s="20">
        <v>9.5601851851851855E-3</v>
      </c>
      <c r="G20" s="21">
        <f t="shared" si="0"/>
        <v>826</v>
      </c>
      <c r="H20" s="21"/>
      <c r="I20" s="21"/>
      <c r="J20" s="17"/>
      <c r="K20" s="17" t="s">
        <v>2</v>
      </c>
    </row>
    <row r="21" spans="1:11" x14ac:dyDescent="0.45">
      <c r="A21" s="11">
        <v>16</v>
      </c>
      <c r="B21" s="17" t="s">
        <v>66</v>
      </c>
      <c r="C21" s="17" t="s">
        <v>5</v>
      </c>
      <c r="D21" s="18" t="s">
        <v>5</v>
      </c>
      <c r="E21" s="19">
        <v>255.078</v>
      </c>
      <c r="F21" s="20">
        <v>9.2129629629629627E-3</v>
      </c>
      <c r="G21" s="21">
        <f t="shared" si="0"/>
        <v>796</v>
      </c>
      <c r="H21" s="21"/>
      <c r="I21" s="21"/>
      <c r="J21" s="17"/>
      <c r="K21" s="17" t="s">
        <v>2</v>
      </c>
    </row>
    <row r="22" spans="1:11" x14ac:dyDescent="0.45">
      <c r="A22" s="11">
        <v>17</v>
      </c>
      <c r="B22" s="17" t="s">
        <v>0</v>
      </c>
      <c r="C22" s="17" t="s">
        <v>1</v>
      </c>
      <c r="D22" s="22" t="s">
        <v>1</v>
      </c>
      <c r="E22" s="23">
        <v>208.17599999999999</v>
      </c>
      <c r="F22" s="20">
        <v>9.7916666666666673E-3</v>
      </c>
      <c r="G22" s="21">
        <f t="shared" si="0"/>
        <v>846</v>
      </c>
      <c r="H22" s="21"/>
      <c r="I22" s="21"/>
      <c r="J22" s="17"/>
      <c r="K22" s="17" t="s">
        <v>2</v>
      </c>
    </row>
    <row r="23" spans="1:11" x14ac:dyDescent="0.45">
      <c r="A23" s="11">
        <v>18</v>
      </c>
      <c r="B23" s="17" t="s">
        <v>3</v>
      </c>
      <c r="C23" s="17" t="s">
        <v>1</v>
      </c>
      <c r="D23" s="18" t="s">
        <v>1</v>
      </c>
      <c r="E23" s="19">
        <v>313.459</v>
      </c>
      <c r="F23" s="20">
        <v>3.0555555555555557E-3</v>
      </c>
      <c r="G23" s="21">
        <f t="shared" si="0"/>
        <v>264</v>
      </c>
      <c r="H23" s="21"/>
      <c r="I23" s="21"/>
      <c r="J23" s="17"/>
      <c r="K23" s="17" t="s">
        <v>2</v>
      </c>
    </row>
    <row r="24" spans="1:11" x14ac:dyDescent="0.45">
      <c r="A24" s="11">
        <v>19</v>
      </c>
      <c r="B24" s="17" t="s">
        <v>4</v>
      </c>
      <c r="C24" s="17" t="s">
        <v>5</v>
      </c>
      <c r="D24" s="22" t="s">
        <v>5</v>
      </c>
      <c r="E24" s="23">
        <v>43.933</v>
      </c>
      <c r="F24" s="20">
        <v>9.9768518518518513E-3</v>
      </c>
      <c r="G24" s="21">
        <f t="shared" si="0"/>
        <v>862</v>
      </c>
      <c r="H24" s="21"/>
      <c r="I24" s="21"/>
      <c r="J24" s="17"/>
      <c r="K24" s="17" t="s">
        <v>2</v>
      </c>
    </row>
    <row r="25" spans="1:11" x14ac:dyDescent="0.45">
      <c r="A25" s="11">
        <v>20</v>
      </c>
      <c r="B25" s="17" t="s">
        <v>6</v>
      </c>
      <c r="C25" s="17" t="s">
        <v>7</v>
      </c>
      <c r="D25" s="18" t="s">
        <v>7</v>
      </c>
      <c r="E25" s="19">
        <v>286.84899999999999</v>
      </c>
      <c r="F25" s="20">
        <v>1.0868055555555556E-2</v>
      </c>
      <c r="G25" s="21">
        <f t="shared" si="0"/>
        <v>939</v>
      </c>
      <c r="H25" s="21"/>
      <c r="I25" s="21"/>
      <c r="J25" s="17"/>
      <c r="K25" s="17" t="s">
        <v>2</v>
      </c>
    </row>
    <row r="26" spans="1:11" x14ac:dyDescent="0.45">
      <c r="A26" s="11">
        <v>21</v>
      </c>
      <c r="B26" s="17" t="s">
        <v>8</v>
      </c>
      <c r="C26" s="17" t="s">
        <v>9</v>
      </c>
      <c r="D26" s="22" t="s">
        <v>9</v>
      </c>
      <c r="E26" s="23">
        <v>225.80199999999999</v>
      </c>
      <c r="F26" s="20">
        <v>1.4328703703703703E-2</v>
      </c>
      <c r="G26" s="21">
        <f t="shared" si="0"/>
        <v>1238</v>
      </c>
      <c r="H26" s="21"/>
      <c r="I26" s="21"/>
      <c r="J26" s="17"/>
      <c r="K26" s="17" t="s">
        <v>2</v>
      </c>
    </row>
    <row r="27" spans="1:11" x14ac:dyDescent="0.45">
      <c r="A27" s="11">
        <v>22</v>
      </c>
      <c r="B27" s="17" t="s">
        <v>10</v>
      </c>
      <c r="C27" s="17" t="s">
        <v>9</v>
      </c>
      <c r="D27" s="18" t="s">
        <v>9</v>
      </c>
      <c r="E27" s="19">
        <v>439.17599999999999</v>
      </c>
      <c r="F27" s="20">
        <v>3.8773148148148148E-3</v>
      </c>
      <c r="G27" s="21">
        <f t="shared" si="0"/>
        <v>335</v>
      </c>
      <c r="H27" s="21"/>
      <c r="I27" s="21"/>
      <c r="J27" s="17"/>
      <c r="K27" s="17" t="s">
        <v>2</v>
      </c>
    </row>
    <row r="28" spans="1:11" x14ac:dyDescent="0.45">
      <c r="A28" s="11">
        <v>23</v>
      </c>
      <c r="B28" s="17" t="s">
        <v>11</v>
      </c>
      <c r="C28" s="17" t="s">
        <v>9</v>
      </c>
      <c r="D28" s="22" t="s">
        <v>9</v>
      </c>
      <c r="E28" s="23">
        <v>5.258</v>
      </c>
      <c r="F28" s="20">
        <v>4.1435185185185186E-3</v>
      </c>
      <c r="G28" s="21">
        <f t="shared" si="0"/>
        <v>358</v>
      </c>
      <c r="H28" s="21"/>
      <c r="I28" s="21"/>
      <c r="J28" s="17"/>
      <c r="K28" s="17" t="s">
        <v>2</v>
      </c>
    </row>
    <row r="29" spans="1:11" x14ac:dyDescent="0.45">
      <c r="A29" s="11">
        <v>24</v>
      </c>
      <c r="B29" s="17" t="s">
        <v>12</v>
      </c>
      <c r="C29" s="17" t="s">
        <v>13</v>
      </c>
      <c r="D29" s="18" t="s">
        <v>13</v>
      </c>
      <c r="E29" s="19">
        <v>192.642</v>
      </c>
      <c r="F29" s="20">
        <v>5.6249999999999998E-3</v>
      </c>
      <c r="G29" s="21">
        <f t="shared" si="0"/>
        <v>486</v>
      </c>
      <c r="H29" s="21"/>
      <c r="I29" s="21"/>
      <c r="J29" s="17"/>
      <c r="K29" s="17" t="s">
        <v>2</v>
      </c>
    </row>
    <row r="30" spans="1:11" x14ac:dyDescent="0.45">
      <c r="A30" s="11">
        <v>25</v>
      </c>
      <c r="B30" s="17" t="s">
        <v>14</v>
      </c>
      <c r="C30" s="17" t="s">
        <v>9</v>
      </c>
      <c r="D30" s="22" t="s">
        <v>9</v>
      </c>
      <c r="E30" s="23">
        <v>262.82</v>
      </c>
      <c r="F30" s="20">
        <v>6.030092592592593E-3</v>
      </c>
      <c r="G30" s="21">
        <f t="shared" si="0"/>
        <v>521</v>
      </c>
      <c r="H30" s="21"/>
      <c r="I30" s="21"/>
      <c r="J30" s="17"/>
      <c r="K30" s="17" t="s">
        <v>2</v>
      </c>
    </row>
    <row r="31" spans="1:11" x14ac:dyDescent="0.45">
      <c r="A31" s="36">
        <v>26</v>
      </c>
      <c r="B31" s="17" t="s">
        <v>15</v>
      </c>
      <c r="C31" s="17" t="s">
        <v>101</v>
      </c>
      <c r="D31" s="18" t="s">
        <v>71</v>
      </c>
      <c r="E31" s="37">
        <v>4.6070000000000002</v>
      </c>
      <c r="F31" s="20">
        <v>1.5046296296296296E-3</v>
      </c>
      <c r="G31" s="21">
        <f t="shared" si="0"/>
        <v>130</v>
      </c>
      <c r="H31" s="21"/>
      <c r="I31" s="21"/>
      <c r="J31" s="17"/>
      <c r="K31" s="17" t="s">
        <v>2</v>
      </c>
    </row>
    <row r="32" spans="1:11" s="2" customFormat="1" x14ac:dyDescent="0.45">
      <c r="A32" s="11">
        <v>27</v>
      </c>
      <c r="B32" s="12" t="s">
        <v>16</v>
      </c>
      <c r="C32" s="12" t="s">
        <v>17</v>
      </c>
      <c r="D32" s="13" t="s">
        <v>72</v>
      </c>
      <c r="E32" s="14">
        <v>88.539000000000001</v>
      </c>
      <c r="F32" s="15">
        <v>7.1643518518518514E-3</v>
      </c>
      <c r="G32" s="16">
        <f t="shared" si="0"/>
        <v>619</v>
      </c>
      <c r="H32" s="16"/>
      <c r="I32" s="16"/>
      <c r="J32" s="12"/>
      <c r="K32" s="12" t="s">
        <v>2</v>
      </c>
    </row>
    <row r="33" spans="1:11" x14ac:dyDescent="0.45">
      <c r="A33" s="11">
        <v>28</v>
      </c>
      <c r="B33" s="17" t="s">
        <v>18</v>
      </c>
      <c r="C33" s="17" t="s">
        <v>5</v>
      </c>
      <c r="D33" s="18" t="s">
        <v>5</v>
      </c>
      <c r="E33" s="19">
        <v>102.389</v>
      </c>
      <c r="F33" s="20">
        <v>7.6388888888888886E-3</v>
      </c>
      <c r="G33" s="21">
        <f t="shared" si="0"/>
        <v>660</v>
      </c>
      <c r="H33" s="21"/>
      <c r="I33" s="21"/>
      <c r="J33" s="17"/>
      <c r="K33" s="17" t="s">
        <v>2</v>
      </c>
    </row>
    <row r="34" spans="1:11" x14ac:dyDescent="0.45">
      <c r="A34" s="11">
        <v>29</v>
      </c>
      <c r="B34" s="17" t="s">
        <v>19</v>
      </c>
      <c r="C34" s="17" t="s">
        <v>5</v>
      </c>
      <c r="D34" s="22" t="s">
        <v>5</v>
      </c>
      <c r="E34" s="23">
        <v>98.852999999999994</v>
      </c>
      <c r="F34" s="20">
        <v>7.6273148148148151E-3</v>
      </c>
      <c r="G34" s="21">
        <f t="shared" si="0"/>
        <v>659</v>
      </c>
      <c r="H34" s="21"/>
      <c r="I34" s="21"/>
      <c r="J34" s="17"/>
      <c r="K34" s="17" t="s">
        <v>2</v>
      </c>
    </row>
    <row r="35" spans="1:11" x14ac:dyDescent="0.45">
      <c r="A35" s="11">
        <v>30</v>
      </c>
      <c r="B35" s="17" t="s">
        <v>20</v>
      </c>
      <c r="C35" s="17" t="s">
        <v>9</v>
      </c>
      <c r="D35" s="18" t="s">
        <v>9</v>
      </c>
      <c r="E35" s="19">
        <v>203.64400000000001</v>
      </c>
      <c r="F35" s="20">
        <v>7.951388888888888E-3</v>
      </c>
      <c r="G35" s="21">
        <f t="shared" si="0"/>
        <v>686.99999999999989</v>
      </c>
      <c r="H35" s="21"/>
      <c r="I35" s="21"/>
      <c r="J35" s="17"/>
      <c r="K35" s="17" t="s">
        <v>2</v>
      </c>
    </row>
    <row r="36" spans="1:11" s="2" customFormat="1" x14ac:dyDescent="0.45">
      <c r="A36" s="11">
        <v>31</v>
      </c>
      <c r="B36" s="12" t="s">
        <v>21</v>
      </c>
      <c r="C36" s="12" t="s">
        <v>17</v>
      </c>
      <c r="D36" s="13" t="s">
        <v>72</v>
      </c>
      <c r="E36" s="14">
        <v>62.295999999999999</v>
      </c>
      <c r="F36" s="15">
        <v>6.9328703703703705E-3</v>
      </c>
      <c r="G36" s="16">
        <f t="shared" si="0"/>
        <v>599</v>
      </c>
      <c r="H36" s="16"/>
      <c r="I36" s="16"/>
      <c r="J36" s="12"/>
      <c r="K36" s="12" t="s">
        <v>2</v>
      </c>
    </row>
    <row r="37" spans="1:11" x14ac:dyDescent="0.45">
      <c r="A37" s="11">
        <v>32</v>
      </c>
      <c r="B37" s="17" t="s">
        <v>22</v>
      </c>
      <c r="C37" s="17" t="s">
        <v>5</v>
      </c>
      <c r="D37" s="18" t="s">
        <v>5</v>
      </c>
      <c r="E37" s="19">
        <v>130.369</v>
      </c>
      <c r="F37" s="20">
        <v>3.0092592592592593E-3</v>
      </c>
      <c r="G37" s="21">
        <f t="shared" si="0"/>
        <v>260</v>
      </c>
      <c r="H37" s="21"/>
      <c r="I37" s="21"/>
      <c r="J37" s="17"/>
      <c r="K37" s="17" t="s">
        <v>2</v>
      </c>
    </row>
    <row r="38" spans="1:11" x14ac:dyDescent="0.45">
      <c r="A38" s="11">
        <v>33</v>
      </c>
      <c r="B38" s="17" t="s">
        <v>23</v>
      </c>
      <c r="C38" s="17" t="s">
        <v>7</v>
      </c>
      <c r="D38" s="22" t="s">
        <v>7</v>
      </c>
      <c r="E38" s="23">
        <v>105.77800000000001</v>
      </c>
      <c r="F38" s="20">
        <v>1.7013888888888888E-3</v>
      </c>
      <c r="G38" s="21">
        <f t="shared" si="0"/>
        <v>147</v>
      </c>
      <c r="H38" s="21"/>
      <c r="I38" s="21"/>
      <c r="J38" s="17"/>
      <c r="K38" s="17" t="s">
        <v>2</v>
      </c>
    </row>
    <row r="39" spans="1:11" x14ac:dyDescent="0.45">
      <c r="A39" s="11">
        <v>34</v>
      </c>
      <c r="B39" s="17" t="s">
        <v>24</v>
      </c>
      <c r="C39" s="17" t="s">
        <v>25</v>
      </c>
      <c r="D39" s="18" t="s">
        <v>25</v>
      </c>
      <c r="E39" s="19">
        <v>88.85</v>
      </c>
      <c r="F39" s="20">
        <v>1.4814814814814814E-3</v>
      </c>
      <c r="G39" s="21">
        <f t="shared" si="0"/>
        <v>128</v>
      </c>
      <c r="H39" s="21"/>
      <c r="I39" s="21"/>
      <c r="J39" s="17"/>
      <c r="K39" s="17" t="s">
        <v>2</v>
      </c>
    </row>
    <row r="40" spans="1:11" x14ac:dyDescent="0.45">
      <c r="A40" s="11">
        <v>35</v>
      </c>
      <c r="B40" s="17" t="s">
        <v>26</v>
      </c>
      <c r="C40" s="17" t="s">
        <v>25</v>
      </c>
      <c r="D40" s="22" t="s">
        <v>25</v>
      </c>
      <c r="E40" s="23">
        <v>71.043999999999997</v>
      </c>
      <c r="F40" s="20">
        <v>3.5995370370370369E-3</v>
      </c>
      <c r="G40" s="21">
        <f t="shared" si="0"/>
        <v>311</v>
      </c>
      <c r="H40" s="21"/>
      <c r="I40" s="21"/>
      <c r="J40" s="17"/>
      <c r="K40" s="17" t="s">
        <v>2</v>
      </c>
    </row>
    <row r="41" spans="1:11" x14ac:dyDescent="0.45">
      <c r="A41" s="11">
        <v>36</v>
      </c>
      <c r="B41" s="17" t="s">
        <v>27</v>
      </c>
      <c r="C41" s="17" t="s">
        <v>9</v>
      </c>
      <c r="D41" s="18" t="s">
        <v>9</v>
      </c>
      <c r="E41" s="19">
        <v>19.408999999999999</v>
      </c>
      <c r="F41" s="20">
        <v>4.9189814814814816E-3</v>
      </c>
      <c r="G41" s="21">
        <f t="shared" si="0"/>
        <v>425</v>
      </c>
      <c r="H41" s="21"/>
      <c r="I41" s="21"/>
      <c r="J41" s="17"/>
      <c r="K41" s="17" t="s">
        <v>2</v>
      </c>
    </row>
    <row r="42" spans="1:11" x14ac:dyDescent="0.45">
      <c r="A42" s="11">
        <v>37</v>
      </c>
      <c r="B42" s="17" t="s">
        <v>28</v>
      </c>
      <c r="C42" s="17" t="s">
        <v>1</v>
      </c>
      <c r="D42" s="22" t="s">
        <v>1</v>
      </c>
      <c r="E42" s="23">
        <v>9.4169999999999998</v>
      </c>
      <c r="F42" s="20">
        <v>4.3981481481481484E-3</v>
      </c>
      <c r="G42" s="21">
        <f t="shared" si="0"/>
        <v>380</v>
      </c>
      <c r="H42" s="21"/>
      <c r="I42" s="21"/>
      <c r="J42" s="17"/>
      <c r="K42" s="17" t="s">
        <v>2</v>
      </c>
    </row>
    <row r="43" spans="1:11" x14ac:dyDescent="0.45">
      <c r="A43" s="36">
        <v>38</v>
      </c>
      <c r="B43" s="17" t="s">
        <v>29</v>
      </c>
      <c r="C43" s="17" t="s">
        <v>1</v>
      </c>
      <c r="D43" s="18" t="s">
        <v>1</v>
      </c>
      <c r="E43" s="37">
        <v>8.8109999999999999</v>
      </c>
      <c r="F43" s="20">
        <v>1.5856481481481481E-3</v>
      </c>
      <c r="G43" s="21">
        <f t="shared" si="0"/>
        <v>137</v>
      </c>
      <c r="H43" s="21"/>
      <c r="I43" s="21"/>
      <c r="J43" s="17"/>
      <c r="K43" s="17" t="s">
        <v>2</v>
      </c>
    </row>
    <row r="44" spans="1:11" s="2" customFormat="1" x14ac:dyDescent="0.45">
      <c r="A44" s="11">
        <v>39</v>
      </c>
      <c r="B44" s="12" t="s">
        <v>30</v>
      </c>
      <c r="C44" s="12" t="s">
        <v>31</v>
      </c>
      <c r="D44" s="13" t="s">
        <v>1</v>
      </c>
      <c r="E44" s="14">
        <v>6.0259999999999998</v>
      </c>
      <c r="F44" s="15">
        <v>3.414351851851852E-3</v>
      </c>
      <c r="G44" s="16">
        <f t="shared" si="0"/>
        <v>295</v>
      </c>
      <c r="H44" s="16"/>
      <c r="I44" s="16"/>
      <c r="J44" s="12"/>
      <c r="K44" s="12" t="s">
        <v>2</v>
      </c>
    </row>
    <row r="45" spans="1:11" s="33" customFormat="1" x14ac:dyDescent="0.45">
      <c r="A45" s="38">
        <v>40</v>
      </c>
      <c r="B45" s="28" t="s">
        <v>32</v>
      </c>
      <c r="C45" s="28" t="s">
        <v>33</v>
      </c>
      <c r="D45" s="34" t="s">
        <v>73</v>
      </c>
      <c r="E45" s="35">
        <v>25.26</v>
      </c>
      <c r="F45" s="31">
        <v>3.9583333333333337E-3</v>
      </c>
      <c r="G45" s="32">
        <f t="shared" si="0"/>
        <v>342.00000000000006</v>
      </c>
      <c r="H45" s="32"/>
      <c r="I45" s="32"/>
      <c r="J45" s="28"/>
      <c r="K45" s="28" t="s">
        <v>2</v>
      </c>
    </row>
    <row r="46" spans="1:11" s="33" customFormat="1" x14ac:dyDescent="0.45">
      <c r="A46" s="38">
        <v>41</v>
      </c>
      <c r="B46" s="28" t="s">
        <v>34</v>
      </c>
      <c r="C46" s="28" t="s">
        <v>33</v>
      </c>
      <c r="D46" s="29" t="s">
        <v>74</v>
      </c>
      <c r="E46" s="30">
        <v>25.693000000000001</v>
      </c>
      <c r="F46" s="31">
        <v>1.8749999999999999E-3</v>
      </c>
      <c r="G46" s="32">
        <f t="shared" si="0"/>
        <v>162</v>
      </c>
      <c r="H46" s="32"/>
      <c r="I46" s="32"/>
      <c r="J46" s="28"/>
      <c r="K46" s="31" t="s">
        <v>2</v>
      </c>
    </row>
    <row r="47" spans="1:11" x14ac:dyDescent="0.45">
      <c r="A47" s="11">
        <v>42</v>
      </c>
      <c r="B47" s="17" t="s">
        <v>35</v>
      </c>
      <c r="C47" s="17" t="s">
        <v>9</v>
      </c>
      <c r="D47" s="18" t="s">
        <v>9</v>
      </c>
      <c r="E47" s="19">
        <v>76.927000000000007</v>
      </c>
      <c r="F47" s="20">
        <v>1.1689814814814816E-3</v>
      </c>
      <c r="G47" s="21">
        <f t="shared" si="0"/>
        <v>101.00000000000001</v>
      </c>
      <c r="H47" s="21"/>
      <c r="I47" s="21"/>
      <c r="J47" s="17"/>
      <c r="K47" s="40" t="s">
        <v>2</v>
      </c>
    </row>
    <row r="48" spans="1:11" x14ac:dyDescent="0.45">
      <c r="A48" s="11">
        <v>43</v>
      </c>
      <c r="B48" s="17" t="s">
        <v>36</v>
      </c>
      <c r="C48" s="17" t="s">
        <v>25</v>
      </c>
      <c r="D48" s="22" t="s">
        <v>25</v>
      </c>
      <c r="E48" s="23">
        <v>149.94499999999999</v>
      </c>
      <c r="F48" s="20">
        <v>7.1527777777777779E-3</v>
      </c>
      <c r="G48" s="21">
        <f t="shared" si="0"/>
        <v>618</v>
      </c>
      <c r="H48" s="21"/>
      <c r="I48" s="21"/>
      <c r="J48" s="17"/>
      <c r="K48" s="17" t="s">
        <v>2</v>
      </c>
    </row>
    <row r="49" spans="1:11" x14ac:dyDescent="0.45">
      <c r="A49" s="11">
        <v>44</v>
      </c>
      <c r="B49" s="17" t="s">
        <v>37</v>
      </c>
      <c r="C49" s="17" t="s">
        <v>25</v>
      </c>
      <c r="D49" s="18" t="s">
        <v>25</v>
      </c>
      <c r="E49" s="19">
        <v>157.08600000000001</v>
      </c>
      <c r="F49" s="20">
        <v>7.743055555555556E-3</v>
      </c>
      <c r="G49" s="21">
        <f t="shared" si="0"/>
        <v>669</v>
      </c>
      <c r="H49" s="21"/>
      <c r="I49" s="21"/>
      <c r="J49" s="17"/>
      <c r="K49" s="17" t="s">
        <v>2</v>
      </c>
    </row>
    <row r="50" spans="1:11" x14ac:dyDescent="0.45">
      <c r="A50" s="11">
        <v>45</v>
      </c>
      <c r="B50" s="17" t="s">
        <v>38</v>
      </c>
      <c r="C50" s="17" t="s">
        <v>25</v>
      </c>
      <c r="D50" s="22" t="s">
        <v>25</v>
      </c>
      <c r="E50" s="23">
        <v>257.084</v>
      </c>
      <c r="F50" s="20">
        <v>2.2106481481481482E-3</v>
      </c>
      <c r="G50" s="21">
        <f t="shared" si="0"/>
        <v>191</v>
      </c>
      <c r="H50" s="21"/>
      <c r="I50" s="21"/>
      <c r="J50" s="17"/>
      <c r="K50" s="17" t="s">
        <v>2</v>
      </c>
    </row>
    <row r="51" spans="1:11" s="33" customFormat="1" x14ac:dyDescent="0.45">
      <c r="A51" s="27">
        <v>46</v>
      </c>
      <c r="B51" s="28" t="s">
        <v>39</v>
      </c>
      <c r="C51" s="28" t="s">
        <v>40</v>
      </c>
      <c r="D51" s="34" t="s">
        <v>25</v>
      </c>
      <c r="E51" s="35">
        <v>95.094999999999999</v>
      </c>
      <c r="F51" s="31">
        <v>3.0092592592592593E-3</v>
      </c>
      <c r="G51" s="32">
        <f t="shared" si="0"/>
        <v>260</v>
      </c>
      <c r="H51" s="32"/>
      <c r="I51" s="32"/>
      <c r="J51" s="28"/>
      <c r="K51" s="28" t="s">
        <v>2</v>
      </c>
    </row>
    <row r="52" spans="1:11" x14ac:dyDescent="0.45">
      <c r="A52" s="11">
        <v>47</v>
      </c>
      <c r="B52" s="17" t="s">
        <v>41</v>
      </c>
      <c r="C52" s="17" t="s">
        <v>25</v>
      </c>
      <c r="D52" s="22" t="s">
        <v>25</v>
      </c>
      <c r="E52" s="23">
        <v>196.89500000000001</v>
      </c>
      <c r="F52" s="20">
        <v>4.4675925925925924E-3</v>
      </c>
      <c r="G52" s="21">
        <f t="shared" si="0"/>
        <v>386</v>
      </c>
      <c r="H52" s="21"/>
      <c r="I52" s="21"/>
      <c r="J52" s="17"/>
      <c r="K52" s="17" t="s">
        <v>2</v>
      </c>
    </row>
    <row r="53" spans="1:11" s="2" customFormat="1" x14ac:dyDescent="0.45">
      <c r="A53" s="11">
        <v>48</v>
      </c>
      <c r="B53" s="12" t="s">
        <v>42</v>
      </c>
      <c r="C53" s="12" t="s">
        <v>43</v>
      </c>
      <c r="D53" s="24" t="s">
        <v>75</v>
      </c>
      <c r="E53" s="25">
        <v>133.733</v>
      </c>
      <c r="F53" s="15">
        <v>4.2245370370370371E-3</v>
      </c>
      <c r="G53" s="16">
        <f t="shared" si="0"/>
        <v>365</v>
      </c>
      <c r="H53" s="16"/>
      <c r="I53" s="16"/>
      <c r="J53" s="12"/>
      <c r="K53" s="12" t="s">
        <v>2</v>
      </c>
    </row>
    <row r="54" spans="1:11" x14ac:dyDescent="0.45">
      <c r="A54" s="11">
        <v>49</v>
      </c>
      <c r="B54" s="17" t="s">
        <v>44</v>
      </c>
      <c r="C54" s="17" t="s">
        <v>43</v>
      </c>
      <c r="D54" s="22" t="s">
        <v>43</v>
      </c>
      <c r="E54" s="23">
        <v>95.695999999999998</v>
      </c>
      <c r="F54" s="20">
        <v>4.6180555555555558E-3</v>
      </c>
      <c r="G54" s="21">
        <f t="shared" si="0"/>
        <v>399</v>
      </c>
      <c r="H54" s="21"/>
      <c r="I54" s="21"/>
      <c r="J54" s="17"/>
      <c r="K54" s="17" t="s">
        <v>2</v>
      </c>
    </row>
    <row r="55" spans="1:11" x14ac:dyDescent="0.45">
      <c r="A55" s="11">
        <v>50</v>
      </c>
      <c r="B55" s="17" t="s">
        <v>45</v>
      </c>
      <c r="C55" s="17" t="s">
        <v>9</v>
      </c>
      <c r="D55" s="18" t="s">
        <v>9</v>
      </c>
      <c r="E55" s="19">
        <v>99.6</v>
      </c>
      <c r="F55" s="20">
        <v>2.1064814814814813E-3</v>
      </c>
      <c r="G55" s="21">
        <f t="shared" si="0"/>
        <v>181.99999999999997</v>
      </c>
      <c r="H55" s="21"/>
      <c r="I55" s="21"/>
      <c r="J55" s="17"/>
      <c r="K55" s="39" t="s">
        <v>2</v>
      </c>
    </row>
    <row r="57" spans="1:11" x14ac:dyDescent="0.45">
      <c r="A57" s="42" t="s">
        <v>93</v>
      </c>
      <c r="B57" s="42"/>
      <c r="C57" s="42"/>
    </row>
    <row r="58" spans="1:11" x14ac:dyDescent="0.45">
      <c r="A58" s="42" t="s">
        <v>94</v>
      </c>
      <c r="B58" s="42"/>
      <c r="C58" s="42" t="s">
        <v>92</v>
      </c>
      <c r="D58" s="3" t="s">
        <v>80</v>
      </c>
      <c r="I58" s="4" t="s">
        <v>81</v>
      </c>
      <c r="K58" s="41">
        <v>0.1</v>
      </c>
    </row>
    <row r="59" spans="1:11" x14ac:dyDescent="0.45">
      <c r="A59" s="42" t="s">
        <v>107</v>
      </c>
      <c r="B59" s="42"/>
      <c r="C59" s="42" t="s">
        <v>108</v>
      </c>
      <c r="D59" s="5" t="s">
        <v>82</v>
      </c>
      <c r="E59" s="6">
        <f>COUNTA(B6:B55)</f>
        <v>50</v>
      </c>
      <c r="I59" s="4" t="s">
        <v>99</v>
      </c>
    </row>
    <row r="60" spans="1:11" x14ac:dyDescent="0.45">
      <c r="A60" s="42" t="s">
        <v>104</v>
      </c>
      <c r="B60" s="42"/>
      <c r="C60" s="42" t="s">
        <v>106</v>
      </c>
      <c r="D60" s="5" t="s">
        <v>83</v>
      </c>
      <c r="E60" s="6">
        <f>SUM(G6:G55)</f>
        <v>24946</v>
      </c>
      <c r="F60" t="s">
        <v>90</v>
      </c>
    </row>
    <row r="61" spans="1:11" x14ac:dyDescent="0.45">
      <c r="A61" s="42" t="s">
        <v>105</v>
      </c>
      <c r="B61" s="42"/>
      <c r="C61" s="43">
        <v>0.1</v>
      </c>
      <c r="D61" s="5" t="s">
        <v>84</v>
      </c>
      <c r="E61" s="6">
        <f>SUM(G6:G55)/50</f>
        <v>498.92</v>
      </c>
    </row>
    <row r="62" spans="1:11" x14ac:dyDescent="0.45">
      <c r="A62" s="42" t="s">
        <v>109</v>
      </c>
      <c r="B62" s="42"/>
      <c r="C62" s="42" t="s">
        <v>110</v>
      </c>
      <c r="D62" s="5" t="s">
        <v>85</v>
      </c>
      <c r="E62" s="6">
        <f>MAX(H6:H55)</f>
        <v>0</v>
      </c>
      <c r="F62" t="s">
        <v>97</v>
      </c>
      <c r="G62" s="33" t="s">
        <v>100</v>
      </c>
    </row>
    <row r="63" spans="1:11" x14ac:dyDescent="0.45">
      <c r="A63" s="42" t="s">
        <v>111</v>
      </c>
      <c r="B63" s="42"/>
      <c r="C63" s="42" t="s">
        <v>112</v>
      </c>
      <c r="D63" s="5" t="s">
        <v>86</v>
      </c>
      <c r="E63" s="6">
        <f>SUM(I6:I55)/45</f>
        <v>0</v>
      </c>
      <c r="G63" s="33" t="s">
        <v>100</v>
      </c>
    </row>
    <row r="64" spans="1:11" x14ac:dyDescent="0.45">
      <c r="B64" s="7"/>
      <c r="D64" s="5" t="s">
        <v>87</v>
      </c>
      <c r="E64" s="6">
        <f>COUNTIF(K6:K55,"SUCCESS")</f>
        <v>50</v>
      </c>
      <c r="G64" s="33"/>
    </row>
    <row r="65" spans="2:7" x14ac:dyDescent="0.45">
      <c r="B65" s="7"/>
      <c r="D65" s="5" t="s">
        <v>88</v>
      </c>
      <c r="E65" s="6">
        <f>MAX(I5:I55)</f>
        <v>0</v>
      </c>
      <c r="G65" s="33" t="s">
        <v>100</v>
      </c>
    </row>
    <row r="66" spans="2:7" x14ac:dyDescent="0.45">
      <c r="D66" s="5" t="s">
        <v>89</v>
      </c>
      <c r="E66" s="6">
        <f>SUM(E6:E55)</f>
        <v>7079.2890000000007</v>
      </c>
      <c r="F66" t="s">
        <v>91</v>
      </c>
    </row>
    <row r="67" spans="2:7" x14ac:dyDescent="0.45">
      <c r="D67" s="5" t="s">
        <v>102</v>
      </c>
      <c r="E67" s="6">
        <f>MAX(E6:E55)</f>
        <v>582.49099999999999</v>
      </c>
    </row>
    <row r="68" spans="2:7" x14ac:dyDescent="0.45">
      <c r="D68" s="5" t="s">
        <v>103</v>
      </c>
      <c r="E68" s="6">
        <f>MIN(E6:E55)</f>
        <v>4.6070000000000002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Kraken2-BV-BRC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Suraiya Jabin</dc:creator>
  <cp:lastModifiedBy>Suraiya Jabin</cp:lastModifiedBy>
  <dcterms:created xsi:type="dcterms:W3CDTF">2026-06-04T04:58:19Z</dcterms:created>
  <dcterms:modified xsi:type="dcterms:W3CDTF">2026-06-06T01:06:15Z</dcterms:modified>
</cp:coreProperties>
</file>