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ESKAPEE work 21 july 2021\draft paper 5 july 2022\Intelligence based medicine 15 jan 2026\submission 15 jan 2026\final 15 Jan 2026\Appendices\"/>
    </mc:Choice>
  </mc:AlternateContent>
  <xr:revisionPtr revIDLastSave="0" documentId="13_ncr:1_{B57680C8-F131-4B88-B5C0-1CF90C30DF1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enchmark Results" sheetId="1" r:id="rId1"/>
    <sheet name="DRR553078.fastq.gz" sheetId="2" r:id="rId2"/>
    <sheet name="SRR014845.fastq.gz" sheetId="3" r:id="rId3"/>
    <sheet name="SRR064411.fastq.gz" sheetId="4" r:id="rId4"/>
    <sheet name="SRR10270828.fastq.gz" sheetId="5" r:id="rId5"/>
    <sheet name="SRR11187851.fastq.gz" sheetId="6" r:id="rId6"/>
    <sheet name="SRR11976330.fastq.gz" sheetId="7" r:id="rId7"/>
    <sheet name="SRR12395362.fastq.gz" sheetId="8" r:id="rId8"/>
    <sheet name="SRR12395398.fastq.gz" sheetId="9" r:id="rId9"/>
    <sheet name="SRR12395407.fastq.gz" sheetId="10" r:id="rId10"/>
    <sheet name="SRR1269560.fastq.gz" sheetId="11" r:id="rId11"/>
    <sheet name="SRR13481122.fastq.gz" sheetId="12" r:id="rId12"/>
    <sheet name="SRR13717242.fastq.gz" sheetId="13" r:id="rId13"/>
    <sheet name="SRR13717344.fastq.gz" sheetId="14" r:id="rId14"/>
    <sheet name="SRR1635675.fastq.gz" sheetId="15" r:id="rId15"/>
    <sheet name="SRR18665484.fastq.gz" sheetId="16" r:id="rId16"/>
    <sheet name="SRR25119414.fastq.gz" sheetId="17" r:id="rId17"/>
    <sheet name="SRR25438750.fastq.gz" sheetId="18" r:id="rId18"/>
    <sheet name="SRR25573008.fastq.gz" sheetId="19" r:id="rId19"/>
    <sheet name="SRR26135184.fastq.gz" sheetId="20" r:id="rId20"/>
    <sheet name="SRR26412308.fastq.gz" sheetId="21" r:id="rId21"/>
    <sheet name="SRR26809132.fastq.gz" sheetId="22" r:id="rId22"/>
    <sheet name="SRR28129145.fastq.gz" sheetId="23" r:id="rId23"/>
    <sheet name="SRR28554255.fastq.gz" sheetId="24" r:id="rId24"/>
    <sheet name="SRR28625656.fastq.gz" sheetId="25" r:id="rId25"/>
    <sheet name="SRR28813410.fastq.gz" sheetId="26" r:id="rId26"/>
    <sheet name="SRR31034632.fastq.gz" sheetId="27" r:id="rId27"/>
    <sheet name="SRR35304775.fastq.gz" sheetId="28" r:id="rId28"/>
    <sheet name="SRR35320458.fastq.gz" sheetId="29" r:id="rId29"/>
    <sheet name="SRR35323168.fastq.gz" sheetId="30" r:id="rId30"/>
    <sheet name="SRR35327908.fastq.gz" sheetId="31" r:id="rId31"/>
    <sheet name="SRR35329904.fastq.gz" sheetId="32" r:id="rId32"/>
    <sheet name="SRR35351752.fastq.gz" sheetId="33" r:id="rId33"/>
    <sheet name="SRR35366030.fastq.gz" sheetId="34" r:id="rId34"/>
    <sheet name="SRR35371573.fastq.gz" sheetId="35" r:id="rId35"/>
    <sheet name="SRR35371574.fastq.gz" sheetId="36" r:id="rId36"/>
    <sheet name="SRR35371988.fastq.gz" sheetId="37" r:id="rId37"/>
    <sheet name="SRR35385940.fastq.gz" sheetId="38" r:id="rId38"/>
    <sheet name="SRR35385944.fastq.gz" sheetId="39" r:id="rId39"/>
    <sheet name="SRR35385945.fastq.gz" sheetId="40" r:id="rId40"/>
    <sheet name="SRR387636.fastq.gz" sheetId="41" r:id="rId41"/>
    <sheet name="SRR496611.fastq.gz" sheetId="42" r:id="rId42"/>
    <sheet name="SRR5100334.fastq.gz" sheetId="43" r:id="rId43"/>
    <sheet name="SRR5519762.fastq.gz" sheetId="44" r:id="rId44"/>
    <sheet name="SRR5519805.fastq.gz" sheetId="45" r:id="rId45"/>
    <sheet name="SRR5891477.fastq.gz" sheetId="46" r:id="rId46"/>
    <sheet name="SRR5891487.fastq.gz" sheetId="47" r:id="rId47"/>
    <sheet name="SRR5891499.fastq.gz" sheetId="48" r:id="rId48"/>
    <sheet name="SRR6650709.fastq.gz" sheetId="49" r:id="rId49"/>
    <sheet name="SRR7131036.fastq.gz" sheetId="50" r:id="rId50"/>
    <sheet name="SRR8526667.fastq.gz" sheetId="51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" l="1"/>
  <c r="G59" i="1"/>
  <c r="G55" i="1"/>
  <c r="G62" i="1"/>
  <c r="G60" i="1"/>
  <c r="G58" i="1"/>
  <c r="G57" i="1"/>
  <c r="G56" i="1"/>
</calcChain>
</file>

<file path=xl/sharedStrings.xml><?xml version="1.0" encoding="utf-8"?>
<sst xmlns="http://schemas.openxmlformats.org/spreadsheetml/2006/main" count="1679" uniqueCount="244">
  <si>
    <t>File</t>
  </si>
  <si>
    <t>Size (MB)</t>
  </si>
  <si>
    <t>Time (sec)</t>
  </si>
  <si>
    <t>Peak RAM (KB)</t>
  </si>
  <si>
    <t>Avg CPU %</t>
  </si>
  <si>
    <t>Peak GPU %</t>
  </si>
  <si>
    <t>Exit Code</t>
  </si>
  <si>
    <t>Status</t>
  </si>
  <si>
    <t>Dominant Species</t>
  </si>
  <si>
    <t>Abundance %</t>
  </si>
  <si>
    <t>Species Reads</t>
  </si>
  <si>
    <t>Total Reads</t>
  </si>
  <si>
    <t>% Classified</t>
  </si>
  <si>
    <t>/home/jairg/SRA_data_comp_Kraken2_Taxor_Ganon_25_may_2026/DRR553078.fastq.gz</t>
  </si>
  <si>
    <t>OK</t>
  </si>
  <si>
    <t>Acinetobacter baumannii</t>
  </si>
  <si>
    <t>/home/jairg/SRA_data_comp_Kraken2_Taxor_Ganon_25_may_2026/SRR014845.fastq.gz</t>
  </si>
  <si>
    <t>Staphylococcus capitis</t>
  </si>
  <si>
    <t>/home/jairg/SRA_data_comp_Kraken2_Taxor_Ganon_25_may_2026/SRR064411.fastq.gz</t>
  </si>
  <si>
    <t>Bacillus sp. (in: Bacteria)</t>
  </si>
  <si>
    <t>/home/jairg/SRA_data_comp_Kraken2_Taxor_Ganon_25_may_2026/SRR10270828.fastq.gz</t>
  </si>
  <si>
    <t>Enterococcus faecium</t>
  </si>
  <si>
    <t>/home/jairg/SRA_data_comp_Kraken2_Taxor_Ganon_25_may_2026/SRR11187851.fastq.gz</t>
  </si>
  <si>
    <t>Staphylococcus aureus</t>
  </si>
  <si>
    <t>/home/jairg/SRA_data_comp_Kraken2_Taxor_Ganon_25_may_2026/SRR11976330.fastq.gz</t>
  </si>
  <si>
    <t>/home/jairg/SRA_data_comp_Kraken2_Taxor_Ganon_25_may_2026/SRR12395362.fastq.gz</t>
  </si>
  <si>
    <t>Mycobacterium africanum</t>
  </si>
  <si>
    <t>/home/jairg/SRA_data_comp_Kraken2_Taxor_Ganon_25_may_2026/SRR12395398.fastq.gz</t>
  </si>
  <si>
    <t>Mycobacterium tuberculosis *</t>
  </si>
  <si>
    <t>/home/jairg/SRA_data_comp_Kraken2_Taxor_Ganon_25_may_2026/SRR12395407.fastq.gz</t>
  </si>
  <si>
    <t>/home/jairg/SRA_data_comp_Kraken2_Taxor_Ganon_25_may_2026/SRR1269560.fastq.gz</t>
  </si>
  <si>
    <t>/home/jairg/SRA_data_comp_Kraken2_Taxor_Ganon_25_may_2026/SRR13481122.fastq.gz</t>
  </si>
  <si>
    <t>/home/jairg/SRA_data_comp_Kraken2_Taxor_Ganon_25_may_2026/SRR13717242.fastq.gz</t>
  </si>
  <si>
    <t>/home/jairg/SRA_data_comp_Kraken2_Taxor_Ganon_25_may_2026/SRR13717344.fastq.gz</t>
  </si>
  <si>
    <t>/home/jairg/SRA_data_comp_Kraken2_Taxor_Ganon_25_may_2026/SRR1635675.fastq.gz</t>
  </si>
  <si>
    <t>Anaplasma marginale</t>
  </si>
  <si>
    <t>/home/jairg/SRA_data_comp_Kraken2_Taxor_Ganon_25_may_2026/SRR18665484.fastq.gz</t>
  </si>
  <si>
    <t>/home/jairg/SRA_data_comp_Kraken2_Taxor_Ganon_25_may_2026/SRR25119414.fastq.gz</t>
  </si>
  <si>
    <t>Pseudomonas aeruginosa</t>
  </si>
  <si>
    <t>/home/jairg/SRA_data_comp_Kraken2_Taxor_Ganon_25_may_2026/SRR25438750.fastq.gz</t>
  </si>
  <si>
    <t>Escherichia coli</t>
  </si>
  <si>
    <t>/home/jairg/SRA_data_comp_Kraken2_Taxor_Ganon_25_may_2026/SRR25573008.fastq.gz</t>
  </si>
  <si>
    <t>/home/jairg/SRA_data_comp_Kraken2_Taxor_Ganon_25_may_2026/SRR26135184.fastq.gz</t>
  </si>
  <si>
    <t>Pseudomonas aeruginosa *</t>
  </si>
  <si>
    <t>/home/jairg/SRA_data_comp_Kraken2_Taxor_Ganon_25_may_2026/SRR26412308.fastq.gz</t>
  </si>
  <si>
    <t>Klebsiella sp. 2N3</t>
  </si>
  <si>
    <t>/home/jairg/SRA_data_comp_Kraken2_Taxor_Ganon_25_may_2026/SRR26809132.fastq.gz</t>
  </si>
  <si>
    <t>/home/jairg/SRA_data_comp_Kraken2_Taxor_Ganon_25_may_2026/SRR28129145.fastq.gz</t>
  </si>
  <si>
    <t>/home/jairg/SRA_data_comp_Kraken2_Taxor_Ganon_25_may_2026/SRR28554255.fastq.gz</t>
  </si>
  <si>
    <t>Staphylococcus argenteus</t>
  </si>
  <si>
    <t>/home/jairg/SRA_data_comp_Kraken2_Taxor_Ganon_25_may_2026/SRR28625656.fastq.gz</t>
  </si>
  <si>
    <t>/home/jairg/SRA_data_comp_Kraken2_Taxor_Ganon_25_may_2026/SRR28813410.fastq.gz</t>
  </si>
  <si>
    <t>/home/jairg/SRA_data_comp_Kraken2_Taxor_Ganon_25_may_2026/SRR31034632.fastq.gz</t>
  </si>
  <si>
    <t>Negativicoccus massiliensis *</t>
  </si>
  <si>
    <t>/home/jairg/SRA_data_comp_Kraken2_Taxor_Ganon_25_may_2026/SRR35304775.fastq.gz</t>
  </si>
  <si>
    <t>Enterobacter hormaechei</t>
  </si>
  <si>
    <t>/home/jairg/SRA_data_comp_Kraken2_Taxor_Ganon_25_may_2026/SRR35320458.fastq.gz</t>
  </si>
  <si>
    <t>/home/jairg/SRA_data_comp_Kraken2_Taxor_Ganon_25_may_2026/SRR35323168.fastq.gz</t>
  </si>
  <si>
    <t>/home/jairg/SRA_data_comp_Kraken2_Taxor_Ganon_25_may_2026/SRR35327908.fastq.gz</t>
  </si>
  <si>
    <t>/home/jairg/SRA_data_comp_Kraken2_Taxor_Ganon_25_may_2026/SRR35329904.fastq.gz</t>
  </si>
  <si>
    <t>/home/jairg/SRA_data_comp_Kraken2_Taxor_Ganon_25_may_2026/SRR35351752.fastq.gz</t>
  </si>
  <si>
    <t>/home/jairg/SRA_data_comp_Kraken2_Taxor_Ganon_25_may_2026/SRR35366030.fastq.gz</t>
  </si>
  <si>
    <t>/home/jairg/SRA_data_comp_Kraken2_Taxor_Ganon_25_may_2026/SRR35371573.fastq.gz</t>
  </si>
  <si>
    <t>/home/jairg/SRA_data_comp_Kraken2_Taxor_Ganon_25_may_2026/SRR35371574.fastq.gz</t>
  </si>
  <si>
    <t>/home/jairg/SRA_data_comp_Kraken2_Taxor_Ganon_25_may_2026/SRR35371988.fastq.gz</t>
  </si>
  <si>
    <t>/home/jairg/SRA_data_comp_Kraken2_Taxor_Ganon_25_may_2026/SRR35385940.fastq.gz</t>
  </si>
  <si>
    <t>Escherichia coli *</t>
  </si>
  <si>
    <t>/home/jairg/SRA_data_comp_Kraken2_Taxor_Ganon_25_may_2026/SRR35385944.fastq.gz</t>
  </si>
  <si>
    <t>/home/jairg/SRA_data_comp_Kraken2_Taxor_Ganon_25_may_2026/SRR35385945.fastq.gz</t>
  </si>
  <si>
    <t>/home/jairg/SRA_data_comp_Kraken2_Taxor_Ganon_25_may_2026/SRR387636.fastq.gz</t>
  </si>
  <si>
    <t>Staphylococcus epidermidis *</t>
  </si>
  <si>
    <t>/home/jairg/SRA_data_comp_Kraken2_Taxor_Ganon_25_may_2026/SRR496611.fastq.gz</t>
  </si>
  <si>
    <t>/home/jairg/SRA_data_comp_Kraken2_Taxor_Ganon_25_may_2026/SRR5100334.fastq.gz</t>
  </si>
  <si>
    <t>/home/jairg/SRA_data_comp_Kraken2_Taxor_Ganon_25_may_2026/SRR5519762.fastq.gz</t>
  </si>
  <si>
    <t>/home/jairg/SRA_data_comp_Kraken2_Taxor_Ganon_25_may_2026/SRR5519805.fastq.gz</t>
  </si>
  <si>
    <t>/home/jairg/SRA_data_comp_Kraken2_Taxor_Ganon_25_may_2026/SRR5891477.fastq.gz</t>
  </si>
  <si>
    <t>Acinetobacter calcoaceticus</t>
  </si>
  <si>
    <t>/home/jairg/SRA_data_comp_Kraken2_Taxor_Ganon_25_may_2026/SRR5891487.fastq.gz</t>
  </si>
  <si>
    <t>Acinetobacter baumannii *</t>
  </si>
  <si>
    <t>/home/jairg/SRA_data_comp_Kraken2_Taxor_Ganon_25_may_2026/SRR5891499.fastq.gz</t>
  </si>
  <si>
    <t>/home/jairg/SRA_data_comp_Kraken2_Taxor_Ganon_25_may_2026/SRR6650709.fastq.gz</t>
  </si>
  <si>
    <t>Mycobacterium canettii</t>
  </si>
  <si>
    <t>/home/jairg/SRA_data_comp_Kraken2_Taxor_Ganon_25_may_2026/SRR7131036.fastq.gz</t>
  </si>
  <si>
    <t>/home/jairg/SRA_data_comp_Kraken2_Taxor_Ganon_25_may_2026/SRR8526667.fastq.gz</t>
  </si>
  <si>
    <t>Summary</t>
  </si>
  <si>
    <t>Total files</t>
  </si>
  <si>
    <t>Total time (s)</t>
  </si>
  <si>
    <t>Avg time (s)</t>
  </si>
  <si>
    <t>Max RAM (KB)</t>
  </si>
  <si>
    <t>Successful</t>
  </si>
  <si>
    <t>Metric</t>
  </si>
  <si>
    <t>Value</t>
  </si>
  <si>
    <t>Success</t>
  </si>
  <si>
    <t>--- Species Classification ---</t>
  </si>
  <si>
    <t>81.32%</t>
  </si>
  <si>
    <t>100.0%</t>
  </si>
  <si>
    <t>99.4%</t>
  </si>
  <si>
    <t>63.51%</t>
  </si>
  <si>
    <t>99.8%</t>
  </si>
  <si>
    <t>99.82%</t>
  </si>
  <si>
    <t>95.4%</t>
  </si>
  <si>
    <t>99.68%</t>
  </si>
  <si>
    <t>98.8%</t>
  </si>
  <si>
    <t>99.91%</t>
  </si>
  <si>
    <t>99.83%</t>
  </si>
  <si>
    <t>99.2%</t>
  </si>
  <si>
    <t>100.00%</t>
  </si>
  <si>
    <t>Classification</t>
  </si>
  <si>
    <t>No species classified</t>
  </si>
  <si>
    <t>Mycobacterium tuberculosis (by read count*)</t>
  </si>
  <si>
    <t>32.38%</t>
  </si>
  <si>
    <t>92.76%</t>
  </si>
  <si>
    <t>97.6%</t>
  </si>
  <si>
    <t>98.48%</t>
  </si>
  <si>
    <t>99.0%</t>
  </si>
  <si>
    <t>99.00%</t>
  </si>
  <si>
    <t>99.1%</t>
  </si>
  <si>
    <t>98.65%</t>
  </si>
  <si>
    <t>98.61%</t>
  </si>
  <si>
    <t>99.86%</t>
  </si>
  <si>
    <t>99.9%</t>
  </si>
  <si>
    <t>95.55%</t>
  </si>
  <si>
    <t>99.7%</t>
  </si>
  <si>
    <t>44.78%</t>
  </si>
  <si>
    <t>99.5%</t>
  </si>
  <si>
    <t>Pseudomonas aeruginosa (by read count*)</t>
  </si>
  <si>
    <t>90.25%</t>
  </si>
  <si>
    <t>86.80%</t>
  </si>
  <si>
    <t>97.5%</t>
  </si>
  <si>
    <t>99.85%</t>
  </si>
  <si>
    <t>99.59%</t>
  </si>
  <si>
    <t>98.1%</t>
  </si>
  <si>
    <t>83.89%</t>
  </si>
  <si>
    <t>98.7%</t>
  </si>
  <si>
    <t>99.39%</t>
  </si>
  <si>
    <t>99.92%</t>
  </si>
  <si>
    <t>Negativicoccus massiliensis (by read count*)</t>
  </si>
  <si>
    <t>36.45%</t>
  </si>
  <si>
    <t>86.83%</t>
  </si>
  <si>
    <t>96.0%</t>
  </si>
  <si>
    <t>99.81%</t>
  </si>
  <si>
    <t>97.7%</t>
  </si>
  <si>
    <t>93.34%</t>
  </si>
  <si>
    <t>96.1%</t>
  </si>
  <si>
    <t>99.87%</t>
  </si>
  <si>
    <t>79.33%</t>
  </si>
  <si>
    <t>94.4%</t>
  </si>
  <si>
    <t>86.15%</t>
  </si>
  <si>
    <t>89.01%</t>
  </si>
  <si>
    <t>98.19%</t>
  </si>
  <si>
    <t>98.4%</t>
  </si>
  <si>
    <t>99.88%</t>
  </si>
  <si>
    <t>Escherichia coli (by read count*)</t>
  </si>
  <si>
    <t>58.69%</t>
  </si>
  <si>
    <t>59.41%</t>
  </si>
  <si>
    <t>65.78%</t>
  </si>
  <si>
    <t>Staphylococcus epidermidis (by read count*)</t>
  </si>
  <si>
    <t>85.08%</t>
  </si>
  <si>
    <t>92.77%</t>
  </si>
  <si>
    <t>99.45%</t>
  </si>
  <si>
    <t>97.57%</t>
  </si>
  <si>
    <t>99.3%</t>
  </si>
  <si>
    <t>93.75%</t>
  </si>
  <si>
    <t>43.50%</t>
  </si>
  <si>
    <t>Acinetobacter baumannii (by read count*)</t>
  </si>
  <si>
    <t>93.16%</t>
  </si>
  <si>
    <t>97.03%</t>
  </si>
  <si>
    <t>76.64%</t>
  </si>
  <si>
    <t>98.71%</t>
  </si>
  <si>
    <t>99.72%</t>
  </si>
  <si>
    <t>S.No.</t>
  </si>
  <si>
    <t>DRR553078</t>
  </si>
  <si>
    <t>SRR014845</t>
  </si>
  <si>
    <t>SRR064411</t>
  </si>
  <si>
    <t>SRR10270828</t>
  </si>
  <si>
    <t>SRR11187851</t>
  </si>
  <si>
    <t>SRR11976330</t>
  </si>
  <si>
    <t>SRR12395362</t>
  </si>
  <si>
    <t>SRR12395398</t>
  </si>
  <si>
    <t>SRR12395407</t>
  </si>
  <si>
    <t>SRR1269560</t>
  </si>
  <si>
    <t>SRR13481122</t>
  </si>
  <si>
    <t>SRR13717242</t>
  </si>
  <si>
    <t>SRR13717344</t>
  </si>
  <si>
    <t>SRR1635675</t>
  </si>
  <si>
    <t>SRR18665484</t>
  </si>
  <si>
    <t>SRR25119414</t>
  </si>
  <si>
    <t>SRR25438750</t>
  </si>
  <si>
    <t>SRR25573008</t>
  </si>
  <si>
    <t>SRR26135184</t>
  </si>
  <si>
    <t>SRR26412308</t>
  </si>
  <si>
    <t>SRR26809132</t>
  </si>
  <si>
    <t>SRR28129145</t>
  </si>
  <si>
    <t>SRR28554255</t>
  </si>
  <si>
    <t>SRR28625656</t>
  </si>
  <si>
    <t>SRR28813410</t>
  </si>
  <si>
    <t>SRR31034632</t>
  </si>
  <si>
    <t>SRR35304775</t>
  </si>
  <si>
    <t>SRR35320458</t>
  </si>
  <si>
    <t>SRR35323168</t>
  </si>
  <si>
    <t>SRR35327908</t>
  </si>
  <si>
    <t>SRR35329904</t>
  </si>
  <si>
    <t>SRR35351752</t>
  </si>
  <si>
    <t>SRR35366030</t>
  </si>
  <si>
    <t>SRR35371573</t>
  </si>
  <si>
    <t>SRR35371574</t>
  </si>
  <si>
    <t>SRR35371988</t>
  </si>
  <si>
    <t>SRR35385940</t>
  </si>
  <si>
    <t>SRR35385944</t>
  </si>
  <si>
    <t>SRR35385945</t>
  </si>
  <si>
    <t>SRR387636</t>
  </si>
  <si>
    <t>SRR496611</t>
  </si>
  <si>
    <t>SRR5100334</t>
  </si>
  <si>
    <t>SRR5519762</t>
  </si>
  <si>
    <t>SRR5519805</t>
  </si>
  <si>
    <t>SRR5891477</t>
  </si>
  <si>
    <t>SRR5891487</t>
  </si>
  <si>
    <t>SRR5891499</t>
  </si>
  <si>
    <t>SRR6650709</t>
  </si>
  <si>
    <t>SRR7131036</t>
  </si>
  <si>
    <t>SRR8526667</t>
  </si>
  <si>
    <t>Miss-Classified %</t>
  </si>
  <si>
    <t>Total file size (MB)</t>
  </si>
  <si>
    <t>7 GB</t>
  </si>
  <si>
    <t>~15 minutes</t>
  </si>
  <si>
    <t>~10 MB</t>
  </si>
  <si>
    <t>Accession</t>
  </si>
  <si>
    <t>Staphylococcus caprae M23864:W1</t>
  </si>
  <si>
    <t>Bacillus subtilis</t>
  </si>
  <si>
    <t>Mycobacterium tuberculosis</t>
  </si>
  <si>
    <t>Enterobacter hormaechei subsp. xiangfangensis</t>
  </si>
  <si>
    <t>Klebsiella pneumoniae</t>
  </si>
  <si>
    <t>air metagenome</t>
  </si>
  <si>
    <t>Staphylococcus epidermidis 14.1.R1.SE</t>
  </si>
  <si>
    <t>Staphylococcus epidermidis NIH04008</t>
  </si>
  <si>
    <t>Mycobacterium canetti</t>
  </si>
  <si>
    <t>Dominant Species by Centrifuge results</t>
  </si>
  <si>
    <t>Organism Name extracted from NCBI/SRA metadata</t>
  </si>
  <si>
    <t>Note:</t>
  </si>
  <si>
    <t xml:space="preserve">Appendix F: Centrifuge Benchmark Results using Bacterial index (Refseq: bacteria, archaea) compressed 6.2 GB dated April 2018, source:  https://benlangmead.github.io/aws-indexes/centrifuge </t>
  </si>
  <si>
    <t>Peak Avg CPU %</t>
  </si>
  <si>
    <r>
      <t xml:space="preserve">9 samples showed </t>
    </r>
    <r>
      <rPr>
        <b/>
        <sz val="10"/>
        <color theme="7"/>
        <rFont val="Arial Unicode MS"/>
      </rPr>
      <t>*</t>
    </r>
    <r>
      <rPr>
        <b/>
        <sz val="11"/>
        <color theme="7"/>
        <rFont val="Calibri"/>
        <family val="2"/>
        <scheme val="minor"/>
      </rPr>
      <t xml:space="preserve"> meaning species was identified by read count, not expectation maximization (EM) abundance; this happens with highly ambiguous reads that map equally to multiple strains.</t>
    </r>
  </si>
  <si>
    <r>
      <t>The index is bacteria-only (</t>
    </r>
    <r>
      <rPr>
        <b/>
        <sz val="10"/>
        <color theme="7"/>
        <rFont val="Arial Unicode MS"/>
      </rPr>
      <t>p_compressed</t>
    </r>
    <r>
      <rPr>
        <b/>
        <sz val="11"/>
        <color theme="7"/>
        <rFont val="Calibri"/>
        <family val="2"/>
        <scheme val="minor"/>
      </rPr>
      <t xml:space="preserve">) so human/viral reads are unclassified; that's why </t>
    </r>
    <r>
      <rPr>
        <b/>
        <sz val="10"/>
        <color theme="7"/>
        <rFont val="Arial Unicode MS"/>
      </rPr>
      <t>% Classified</t>
    </r>
    <r>
      <rPr>
        <b/>
        <sz val="11"/>
        <color theme="7"/>
        <rFont val="Calibri"/>
        <family val="2"/>
        <scheme val="minor"/>
      </rPr>
      <t xml:space="preserve"> may be low for some samples.</t>
    </r>
  </si>
  <si>
    <t>10 out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</si>
</sst>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&quot;%&quot;"/>
    <numFmt numFmtId="166" formatCode="0.0&quot;%&quot;"/>
  </numFmts>
  <fonts count="2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1F6B3A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theme="1"/>
      <name val="Liberation Sans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4"/>
      <color rgb="FF0066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0066FF"/>
      <name val="Arial"/>
      <family val="2"/>
    </font>
    <font>
      <b/>
      <sz val="11"/>
      <color rgb="FF0066FF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0"/>
      <color theme="7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1F6B3A"/>
      </patternFill>
    </fill>
    <fill>
      <patternFill patternType="solid">
        <fgColor rgb="FFE9F7EF"/>
      </patternFill>
    </fill>
    <fill>
      <patternFill patternType="solid">
        <fgColor theme="4"/>
        <bgColor indexed="64"/>
      </patternFill>
    </fill>
    <fill>
      <patternFill patternType="solid">
        <fgColor rgb="FF2C5F8A"/>
      </patternFill>
    </fill>
    <fill>
      <patternFill patternType="solid">
        <fgColor rgb="FFEDF4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1" fillId="0" borderId="0" applyNumberFormat="0" applyFont="0" applyFill="0" applyBorder="0" applyAlignment="0" applyProtection="0"/>
  </cellStyleXfs>
  <cellXfs count="8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/>
    </xf>
    <xf numFmtId="4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3" fillId="0" borderId="0" xfId="0" applyFont="1"/>
    <xf numFmtId="0" fontId="4" fillId="6" borderId="0" xfId="0" applyFont="1" applyFill="1"/>
    <xf numFmtId="4" fontId="2" fillId="0" borderId="0" xfId="0" applyNumberFormat="1" applyFont="1"/>
    <xf numFmtId="0" fontId="5" fillId="2" borderId="0" xfId="0" applyFont="1" applyFill="1" applyAlignment="1">
      <alignment horizontal="center"/>
    </xf>
    <xf numFmtId="0" fontId="6" fillId="5" borderId="0" xfId="0" applyFont="1" applyFill="1"/>
    <xf numFmtId="0" fontId="7" fillId="5" borderId="0" xfId="0" applyFont="1" applyFill="1"/>
    <xf numFmtId="0" fontId="6" fillId="0" borderId="0" xfId="0" applyFont="1"/>
    <xf numFmtId="0" fontId="7" fillId="0" borderId="0" xfId="0" applyFont="1"/>
    <xf numFmtId="165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165" fontId="2" fillId="8" borderId="1" xfId="0" applyNumberFormat="1" applyFont="1" applyFill="1" applyBorder="1" applyAlignment="1">
      <alignment horizontal="right" vertical="center"/>
    </xf>
    <xf numFmtId="3" fontId="2" fillId="8" borderId="1" xfId="0" applyNumberFormat="1" applyFont="1" applyFill="1" applyBorder="1" applyAlignment="1">
      <alignment horizontal="right" vertical="center"/>
    </xf>
    <xf numFmtId="166" fontId="2" fillId="8" borderId="1" xfId="0" applyNumberFormat="1" applyFont="1" applyFill="1" applyBorder="1" applyAlignment="1">
      <alignment horizontal="right" vertical="center"/>
    </xf>
    <xf numFmtId="0" fontId="8" fillId="0" borderId="0" xfId="0" applyFont="1"/>
    <xf numFmtId="0" fontId="6" fillId="8" borderId="0" xfId="0" applyFont="1" applyFill="1"/>
    <xf numFmtId="0" fontId="7" fillId="8" borderId="0" xfId="0" applyFont="1" applyFill="1"/>
    <xf numFmtId="0" fontId="9" fillId="3" borderId="1" xfId="0" applyFont="1" applyFill="1" applyBorder="1" applyAlignment="1">
      <alignment horizontal="left" vertical="center"/>
    </xf>
    <xf numFmtId="164" fontId="9" fillId="3" borderId="1" xfId="0" applyNumberFormat="1" applyFont="1" applyFill="1" applyBorder="1" applyAlignment="1">
      <alignment horizontal="right" vertical="center"/>
    </xf>
    <xf numFmtId="4" fontId="9" fillId="3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right" vertical="center"/>
    </xf>
    <xf numFmtId="3" fontId="9" fillId="3" borderId="1" xfId="0" applyNumberFormat="1" applyFont="1" applyFill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0" fontId="10" fillId="0" borderId="0" xfId="0" applyFont="1"/>
    <xf numFmtId="164" fontId="9" fillId="5" borderId="1" xfId="0" applyNumberFormat="1" applyFont="1" applyFill="1" applyBorder="1" applyAlignment="1">
      <alignment horizontal="right" vertical="center"/>
    </xf>
    <xf numFmtId="4" fontId="9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/>
    </xf>
    <xf numFmtId="165" fontId="9" fillId="8" borderId="1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166" fontId="9" fillId="8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0" fontId="14" fillId="0" borderId="0" xfId="1" applyFont="1"/>
    <xf numFmtId="0" fontId="2" fillId="0" borderId="0" xfId="1" applyFont="1"/>
    <xf numFmtId="0" fontId="9" fillId="0" borderId="0" xfId="1" applyFont="1"/>
    <xf numFmtId="0" fontId="14" fillId="0" borderId="0" xfId="0" applyFont="1"/>
    <xf numFmtId="0" fontId="9" fillId="0" borderId="0" xfId="0" applyFont="1"/>
    <xf numFmtId="0" fontId="15" fillId="0" borderId="0" xfId="0" applyFont="1"/>
    <xf numFmtId="0" fontId="16" fillId="0" borderId="0" xfId="0" applyFont="1"/>
    <xf numFmtId="0" fontId="12" fillId="9" borderId="0" xfId="0" applyFont="1" applyFill="1" applyAlignment="1">
      <alignment wrapText="1"/>
    </xf>
    <xf numFmtId="0" fontId="13" fillId="9" borderId="0" xfId="1" applyFont="1" applyFill="1" applyAlignment="1">
      <alignment wrapText="1"/>
    </xf>
    <xf numFmtId="0" fontId="1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1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17" fillId="0" borderId="0" xfId="0" applyFont="1"/>
    <xf numFmtId="0" fontId="17" fillId="0" borderId="0" xfId="1" applyFont="1"/>
    <xf numFmtId="0" fontId="17" fillId="8" borderId="1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left" vertical="center"/>
    </xf>
    <xf numFmtId="164" fontId="17" fillId="5" borderId="1" xfId="0" applyNumberFormat="1" applyFont="1" applyFill="1" applyBorder="1" applyAlignment="1">
      <alignment horizontal="right" vertical="center"/>
    </xf>
    <xf numFmtId="4" fontId="17" fillId="5" borderId="1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right" vertical="center"/>
    </xf>
    <xf numFmtId="0" fontId="17" fillId="4" borderId="1" xfId="0" applyFont="1" applyFill="1" applyBorder="1" applyAlignment="1">
      <alignment horizontal="center" vertical="center"/>
    </xf>
    <xf numFmtId="0" fontId="18" fillId="0" borderId="0" xfId="0" applyFont="1"/>
    <xf numFmtId="165" fontId="17" fillId="8" borderId="1" xfId="0" applyNumberFormat="1" applyFont="1" applyFill="1" applyBorder="1" applyAlignment="1">
      <alignment horizontal="right" vertical="center"/>
    </xf>
    <xf numFmtId="3" fontId="17" fillId="8" borderId="1" xfId="0" applyNumberFormat="1" applyFont="1" applyFill="1" applyBorder="1" applyAlignment="1">
      <alignment horizontal="right" vertical="center"/>
    </xf>
    <xf numFmtId="166" fontId="17" fillId="8" borderId="1" xfId="0" applyNumberFormat="1" applyFont="1" applyFill="1" applyBorder="1" applyAlignment="1">
      <alignment horizontal="righ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164" fontId="17" fillId="3" borderId="1" xfId="0" applyNumberFormat="1" applyFont="1" applyFill="1" applyBorder="1" applyAlignment="1">
      <alignment horizontal="right" vertical="center"/>
    </xf>
    <xf numFmtId="4" fontId="17" fillId="3" borderId="1" xfId="0" applyNumberFormat="1" applyFont="1" applyFill="1" applyBorder="1" applyAlignment="1">
      <alignment horizontal="right" vertical="center"/>
    </xf>
    <xf numFmtId="0" fontId="17" fillId="3" borderId="1" xfId="0" applyFont="1" applyFill="1" applyBorder="1" applyAlignment="1">
      <alignment horizontal="right" vertical="center"/>
    </xf>
    <xf numFmtId="165" fontId="17" fillId="3" borderId="1" xfId="0" applyNumberFormat="1" applyFont="1" applyFill="1" applyBorder="1" applyAlignment="1">
      <alignment horizontal="right" vertical="center"/>
    </xf>
    <xf numFmtId="3" fontId="17" fillId="3" borderId="1" xfId="0" applyNumberFormat="1" applyFont="1" applyFill="1" applyBorder="1" applyAlignment="1">
      <alignment horizontal="right" vertical="center"/>
    </xf>
    <xf numFmtId="166" fontId="17" fillId="3" borderId="1" xfId="0" applyNumberFormat="1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left" vertical="center"/>
    </xf>
    <xf numFmtId="0" fontId="19" fillId="0" borderId="0" xfId="0" applyFont="1"/>
    <xf numFmtId="9" fontId="16" fillId="0" borderId="0" xfId="0" applyNumberFormat="1" applyFont="1"/>
  </cellXfs>
  <cellStyles count="2">
    <cellStyle name="Default" xfId="1" xr:uid="{72CD5B64-9485-47F7-A2A6-5C45B49F20C2}"/>
    <cellStyle name="Normal" xfId="0" builtinId="0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workbookViewId="0">
      <pane ySplit="2" topLeftCell="A3" activePane="bottomLeft" state="frozen"/>
      <selection pane="bottomLeft"/>
    </sheetView>
  </sheetViews>
  <sheetFormatPr defaultRowHeight="14.25"/>
  <cols>
    <col min="2" max="2" width="16.33203125" customWidth="1"/>
    <col min="3" max="3" width="28.796875" customWidth="1"/>
    <col min="4" max="4" width="36.59765625" customWidth="1"/>
    <col min="5" max="5" width="12" customWidth="1"/>
    <col min="6" max="6" width="18.3984375" customWidth="1"/>
    <col min="7" max="7" width="15" customWidth="1"/>
    <col min="8" max="9" width="12" customWidth="1"/>
    <col min="10" max="10" width="17.59765625" customWidth="1"/>
    <col min="11" max="11" width="10" customWidth="1"/>
    <col min="12" max="12" width="14" customWidth="1"/>
    <col min="13" max="13" width="15" customWidth="1"/>
    <col min="14" max="15" width="13" customWidth="1"/>
  </cols>
  <sheetData>
    <row r="1" spans="1:15" ht="28.05" customHeight="1">
      <c r="D1" s="49" t="s">
        <v>239</v>
      </c>
    </row>
    <row r="2" spans="1:15" s="55" customFormat="1" ht="36.4" customHeight="1">
      <c r="A2" s="51" t="s">
        <v>170</v>
      </c>
      <c r="B2" s="52" t="s">
        <v>226</v>
      </c>
      <c r="C2" s="53" t="s">
        <v>236</v>
      </c>
      <c r="D2" s="56" t="s">
        <v>237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3" t="s">
        <v>9</v>
      </c>
      <c r="M2" s="53" t="s">
        <v>10</v>
      </c>
      <c r="N2" s="53" t="s">
        <v>11</v>
      </c>
      <c r="O2" s="53" t="s">
        <v>12</v>
      </c>
    </row>
    <row r="3" spans="1:15" ht="18" customHeight="1">
      <c r="A3" s="47">
        <v>1</v>
      </c>
      <c r="B3" s="44" t="s">
        <v>171</v>
      </c>
      <c r="C3" s="1" t="s">
        <v>15</v>
      </c>
      <c r="D3" s="57" t="s">
        <v>15</v>
      </c>
      <c r="E3" s="2">
        <v>107.82599999999999</v>
      </c>
      <c r="F3" s="3">
        <v>13.619</v>
      </c>
      <c r="G3" s="3">
        <v>10712</v>
      </c>
      <c r="H3" s="3">
        <v>0.1</v>
      </c>
      <c r="I3" s="4">
        <v>3</v>
      </c>
      <c r="J3" s="5">
        <v>0</v>
      </c>
      <c r="K3" s="5" t="s">
        <v>14</v>
      </c>
      <c r="L3" s="17">
        <v>81.319999999999993</v>
      </c>
      <c r="M3" s="18">
        <v>876974</v>
      </c>
      <c r="N3" s="18">
        <v>1213303</v>
      </c>
      <c r="O3" s="19">
        <v>99.4</v>
      </c>
    </row>
    <row r="4" spans="1:15" s="35" customFormat="1" ht="18" customHeight="1">
      <c r="A4" s="48">
        <v>2</v>
      </c>
      <c r="B4" s="46" t="s">
        <v>172</v>
      </c>
      <c r="C4" s="39" t="s">
        <v>17</v>
      </c>
      <c r="D4" s="80" t="s">
        <v>227</v>
      </c>
      <c r="E4" s="36">
        <v>25.597999999999999</v>
      </c>
      <c r="F4" s="37">
        <v>3.2050000000000001</v>
      </c>
      <c r="G4" s="37">
        <v>10788</v>
      </c>
      <c r="H4" s="37">
        <v>0.3</v>
      </c>
      <c r="I4" s="38">
        <v>5</v>
      </c>
      <c r="J4" s="31">
        <v>0</v>
      </c>
      <c r="K4" s="31" t="s">
        <v>14</v>
      </c>
      <c r="L4" s="40">
        <v>63.51</v>
      </c>
      <c r="M4" s="41">
        <v>28120</v>
      </c>
      <c r="N4" s="41">
        <v>88201</v>
      </c>
      <c r="O4" s="42">
        <v>99.8</v>
      </c>
    </row>
    <row r="5" spans="1:15" ht="18" customHeight="1">
      <c r="A5" s="47">
        <v>3</v>
      </c>
      <c r="B5" s="45" t="s">
        <v>173</v>
      </c>
      <c r="C5" s="1" t="s">
        <v>19</v>
      </c>
      <c r="D5" s="57" t="s">
        <v>228</v>
      </c>
      <c r="E5" s="2">
        <v>21.997</v>
      </c>
      <c r="F5" s="3">
        <v>3.806</v>
      </c>
      <c r="G5" s="3">
        <v>10828</v>
      </c>
      <c r="H5" s="3">
        <v>0.5</v>
      </c>
      <c r="I5" s="4">
        <v>6</v>
      </c>
      <c r="J5" s="5">
        <v>0</v>
      </c>
      <c r="K5" s="5" t="s">
        <v>14</v>
      </c>
      <c r="L5" s="17">
        <v>99.82</v>
      </c>
      <c r="M5" s="18">
        <v>122101</v>
      </c>
      <c r="N5" s="18">
        <v>385894</v>
      </c>
      <c r="O5" s="19">
        <v>95.4</v>
      </c>
    </row>
    <row r="6" spans="1:15" ht="18" customHeight="1">
      <c r="A6" s="47">
        <v>4</v>
      </c>
      <c r="B6" s="44" t="s">
        <v>174</v>
      </c>
      <c r="C6" s="20" t="s">
        <v>21</v>
      </c>
      <c r="D6" s="58" t="s">
        <v>21</v>
      </c>
      <c r="E6" s="6">
        <v>331.363</v>
      </c>
      <c r="F6" s="7">
        <v>36.850999999999999</v>
      </c>
      <c r="G6" s="7">
        <v>10816</v>
      </c>
      <c r="H6" s="7">
        <v>0</v>
      </c>
      <c r="I6" s="8">
        <v>7</v>
      </c>
      <c r="J6" s="5">
        <v>0</v>
      </c>
      <c r="K6" s="5" t="s">
        <v>14</v>
      </c>
      <c r="L6" s="21">
        <v>99.68</v>
      </c>
      <c r="M6" s="22">
        <v>8282449</v>
      </c>
      <c r="N6" s="22">
        <v>9247089</v>
      </c>
      <c r="O6" s="23">
        <v>98.8</v>
      </c>
    </row>
    <row r="7" spans="1:15" ht="18" customHeight="1">
      <c r="A7" s="47">
        <v>5</v>
      </c>
      <c r="B7" s="44" t="s">
        <v>175</v>
      </c>
      <c r="C7" s="1" t="s">
        <v>23</v>
      </c>
      <c r="D7" s="57" t="s">
        <v>23</v>
      </c>
      <c r="E7" s="2">
        <v>154.83699999999999</v>
      </c>
      <c r="F7" s="3">
        <v>19.628</v>
      </c>
      <c r="G7" s="3">
        <v>10816</v>
      </c>
      <c r="H7" s="3">
        <v>0.1</v>
      </c>
      <c r="I7" s="4">
        <v>0</v>
      </c>
      <c r="J7" s="5">
        <v>0</v>
      </c>
      <c r="K7" s="5" t="s">
        <v>14</v>
      </c>
      <c r="L7" s="17">
        <v>99.91</v>
      </c>
      <c r="M7" s="18">
        <v>1510360</v>
      </c>
      <c r="N7" s="18">
        <v>1553554</v>
      </c>
      <c r="O7" s="19">
        <v>100</v>
      </c>
    </row>
    <row r="8" spans="1:15" ht="18" customHeight="1">
      <c r="A8" s="47">
        <v>6</v>
      </c>
      <c r="B8" s="44" t="s">
        <v>176</v>
      </c>
      <c r="C8" s="20" t="s">
        <v>23</v>
      </c>
      <c r="D8" s="58" t="s">
        <v>23</v>
      </c>
      <c r="E8" s="6">
        <v>582.49099999999999</v>
      </c>
      <c r="F8" s="7">
        <v>70.495000000000005</v>
      </c>
      <c r="G8" s="7">
        <v>10828</v>
      </c>
      <c r="H8" s="7">
        <v>0</v>
      </c>
      <c r="I8" s="8">
        <v>3</v>
      </c>
      <c r="J8" s="5">
        <v>0</v>
      </c>
      <c r="K8" s="5" t="s">
        <v>14</v>
      </c>
      <c r="L8" s="21">
        <v>99.83</v>
      </c>
      <c r="M8" s="22">
        <v>15274853</v>
      </c>
      <c r="N8" s="22">
        <v>17172099</v>
      </c>
      <c r="O8" s="23">
        <v>99.2</v>
      </c>
    </row>
    <row r="9" spans="1:15" s="35" customFormat="1" ht="18" customHeight="1">
      <c r="A9" s="48">
        <v>7</v>
      </c>
      <c r="B9" s="46" t="s">
        <v>177</v>
      </c>
      <c r="C9" s="27" t="s">
        <v>26</v>
      </c>
      <c r="D9" s="79" t="s">
        <v>229</v>
      </c>
      <c r="E9" s="28">
        <v>324.904</v>
      </c>
      <c r="F9" s="29">
        <v>34.848999999999997</v>
      </c>
      <c r="G9" s="29">
        <v>10828</v>
      </c>
      <c r="H9" s="29">
        <v>0</v>
      </c>
      <c r="I9" s="30">
        <v>3</v>
      </c>
      <c r="J9" s="31">
        <v>0</v>
      </c>
      <c r="K9" s="31" t="s">
        <v>14</v>
      </c>
      <c r="L9" s="32">
        <v>100</v>
      </c>
      <c r="M9" s="33">
        <v>614582</v>
      </c>
      <c r="N9" s="33">
        <v>2254177</v>
      </c>
      <c r="O9" s="34">
        <v>100</v>
      </c>
    </row>
    <row r="10" spans="1:15" s="67" customFormat="1" ht="18" customHeight="1">
      <c r="A10" s="59">
        <v>8</v>
      </c>
      <c r="B10" s="60" t="s">
        <v>178</v>
      </c>
      <c r="C10" s="61" t="s">
        <v>28</v>
      </c>
      <c r="D10" s="62" t="s">
        <v>229</v>
      </c>
      <c r="E10" s="63">
        <v>5.431</v>
      </c>
      <c r="F10" s="64">
        <v>2.8050000000000002</v>
      </c>
      <c r="G10" s="64">
        <v>10808</v>
      </c>
      <c r="H10" s="64">
        <v>0.4</v>
      </c>
      <c r="I10" s="65">
        <v>6</v>
      </c>
      <c r="J10" s="66">
        <v>0</v>
      </c>
      <c r="K10" s="66" t="s">
        <v>14</v>
      </c>
      <c r="L10" s="68">
        <v>32.380000000000003</v>
      </c>
      <c r="M10" s="69">
        <v>10580</v>
      </c>
      <c r="N10" s="69">
        <v>32678</v>
      </c>
      <c r="O10" s="70">
        <v>100</v>
      </c>
    </row>
    <row r="11" spans="1:15" s="35" customFormat="1" ht="18" customHeight="1">
      <c r="A11" s="48">
        <v>9</v>
      </c>
      <c r="B11" s="46" t="s">
        <v>179</v>
      </c>
      <c r="C11" s="27" t="s">
        <v>26</v>
      </c>
      <c r="D11" s="79" t="s">
        <v>229</v>
      </c>
      <c r="E11" s="28">
        <v>234.38399999999999</v>
      </c>
      <c r="F11" s="29">
        <v>26.234999999999999</v>
      </c>
      <c r="G11" s="29">
        <v>10772</v>
      </c>
      <c r="H11" s="29">
        <v>0</v>
      </c>
      <c r="I11" s="30">
        <v>4</v>
      </c>
      <c r="J11" s="31">
        <v>0</v>
      </c>
      <c r="K11" s="31" t="s">
        <v>14</v>
      </c>
      <c r="L11" s="32">
        <v>100</v>
      </c>
      <c r="M11" s="33">
        <v>385566</v>
      </c>
      <c r="N11" s="33">
        <v>1443777</v>
      </c>
      <c r="O11" s="34">
        <v>100</v>
      </c>
    </row>
    <row r="12" spans="1:15" ht="18" customHeight="1">
      <c r="A12" s="47">
        <v>10</v>
      </c>
      <c r="B12" s="44" t="s">
        <v>180</v>
      </c>
      <c r="C12" s="20" t="s">
        <v>21</v>
      </c>
      <c r="D12" s="58" t="s">
        <v>21</v>
      </c>
      <c r="E12" s="6">
        <v>393.84500000000003</v>
      </c>
      <c r="F12" s="7">
        <v>38.652000000000001</v>
      </c>
      <c r="G12" s="7">
        <v>10824</v>
      </c>
      <c r="H12" s="7">
        <v>0</v>
      </c>
      <c r="I12" s="8">
        <v>3</v>
      </c>
      <c r="J12" s="5">
        <v>0</v>
      </c>
      <c r="K12" s="5" t="s">
        <v>14</v>
      </c>
      <c r="L12" s="21">
        <v>92.76</v>
      </c>
      <c r="M12" s="22">
        <v>4972462</v>
      </c>
      <c r="N12" s="22">
        <v>6011177</v>
      </c>
      <c r="O12" s="23">
        <v>97.6</v>
      </c>
    </row>
    <row r="13" spans="1:15" ht="18" customHeight="1">
      <c r="A13" s="47">
        <v>11</v>
      </c>
      <c r="B13" s="44" t="s">
        <v>181</v>
      </c>
      <c r="C13" s="1" t="s">
        <v>21</v>
      </c>
      <c r="D13" s="57" t="s">
        <v>21</v>
      </c>
      <c r="E13" s="2">
        <v>62.878999999999998</v>
      </c>
      <c r="F13" s="3">
        <v>8.6120000000000001</v>
      </c>
      <c r="G13" s="3">
        <v>10820</v>
      </c>
      <c r="H13" s="3">
        <v>0.1</v>
      </c>
      <c r="I13" s="4">
        <v>3</v>
      </c>
      <c r="J13" s="5">
        <v>0</v>
      </c>
      <c r="K13" s="5" t="s">
        <v>14</v>
      </c>
      <c r="L13" s="17">
        <v>98.48</v>
      </c>
      <c r="M13" s="18">
        <v>1073888</v>
      </c>
      <c r="N13" s="18">
        <v>1186765</v>
      </c>
      <c r="O13" s="19">
        <v>99</v>
      </c>
    </row>
    <row r="14" spans="1:15" ht="18" customHeight="1">
      <c r="A14" s="47">
        <v>12</v>
      </c>
      <c r="B14" s="44" t="s">
        <v>182</v>
      </c>
      <c r="C14" s="20" t="s">
        <v>21</v>
      </c>
      <c r="D14" s="58" t="s">
        <v>21</v>
      </c>
      <c r="E14" s="6">
        <v>76.010999999999996</v>
      </c>
      <c r="F14" s="7">
        <v>9.4130000000000003</v>
      </c>
      <c r="G14" s="7">
        <v>10772</v>
      </c>
      <c r="H14" s="7">
        <v>0.1</v>
      </c>
      <c r="I14" s="8">
        <v>6</v>
      </c>
      <c r="J14" s="5">
        <v>0</v>
      </c>
      <c r="K14" s="5" t="s">
        <v>14</v>
      </c>
      <c r="L14" s="21">
        <v>99</v>
      </c>
      <c r="M14" s="22">
        <v>1418333</v>
      </c>
      <c r="N14" s="22">
        <v>1542623</v>
      </c>
      <c r="O14" s="23">
        <v>99.1</v>
      </c>
    </row>
    <row r="15" spans="1:15" ht="18" customHeight="1">
      <c r="A15" s="47">
        <v>13</v>
      </c>
      <c r="B15" s="44" t="s">
        <v>183</v>
      </c>
      <c r="C15" s="1" t="s">
        <v>21</v>
      </c>
      <c r="D15" s="57" t="s">
        <v>21</v>
      </c>
      <c r="E15" s="2">
        <v>72.632999999999996</v>
      </c>
      <c r="F15" s="3">
        <v>9.4120000000000008</v>
      </c>
      <c r="G15" s="3">
        <v>10800</v>
      </c>
      <c r="H15" s="3">
        <v>0.1</v>
      </c>
      <c r="I15" s="4">
        <v>7</v>
      </c>
      <c r="J15" s="5">
        <v>0</v>
      </c>
      <c r="K15" s="5" t="s">
        <v>14</v>
      </c>
      <c r="L15" s="17">
        <v>98.65</v>
      </c>
      <c r="M15" s="18">
        <v>1247622</v>
      </c>
      <c r="N15" s="18">
        <v>1351831</v>
      </c>
      <c r="O15" s="19">
        <v>99</v>
      </c>
    </row>
    <row r="16" spans="1:15" s="35" customFormat="1" ht="18" customHeight="1">
      <c r="A16" s="48">
        <v>14</v>
      </c>
      <c r="B16" s="46" t="s">
        <v>184</v>
      </c>
      <c r="C16" s="39" t="s">
        <v>35</v>
      </c>
      <c r="D16" s="80" t="s">
        <v>230</v>
      </c>
      <c r="E16" s="36">
        <v>22.132999999999999</v>
      </c>
      <c r="F16" s="37">
        <v>3.4049999999999998</v>
      </c>
      <c r="G16" s="37">
        <v>10768</v>
      </c>
      <c r="H16" s="37">
        <v>0.3</v>
      </c>
      <c r="I16" s="38">
        <v>5</v>
      </c>
      <c r="J16" s="31">
        <v>0</v>
      </c>
      <c r="K16" s="31" t="s">
        <v>14</v>
      </c>
      <c r="L16" s="40">
        <v>100</v>
      </c>
      <c r="M16" s="41">
        <v>61621</v>
      </c>
      <c r="N16" s="41">
        <v>64500</v>
      </c>
      <c r="O16" s="42">
        <v>100</v>
      </c>
    </row>
    <row r="17" spans="1:15" ht="18" customHeight="1">
      <c r="A17" s="47">
        <v>15</v>
      </c>
      <c r="B17" s="44" t="s">
        <v>185</v>
      </c>
      <c r="C17" s="1" t="s">
        <v>26</v>
      </c>
      <c r="D17" s="57" t="s">
        <v>229</v>
      </c>
      <c r="E17" s="2">
        <v>116.718</v>
      </c>
      <c r="F17" s="3">
        <v>13.82</v>
      </c>
      <c r="G17" s="3">
        <v>10808</v>
      </c>
      <c r="H17" s="3">
        <v>0.1</v>
      </c>
      <c r="I17" s="4">
        <v>4</v>
      </c>
      <c r="J17" s="5">
        <v>0</v>
      </c>
      <c r="K17" s="5" t="s">
        <v>14</v>
      </c>
      <c r="L17" s="17">
        <v>98.61</v>
      </c>
      <c r="M17" s="18">
        <v>1947737</v>
      </c>
      <c r="N17" s="18">
        <v>7300044</v>
      </c>
      <c r="O17" s="19">
        <v>100</v>
      </c>
    </row>
    <row r="18" spans="1:15" ht="18" customHeight="1">
      <c r="A18" s="47">
        <v>16</v>
      </c>
      <c r="B18" s="44" t="s">
        <v>186</v>
      </c>
      <c r="C18" s="20" t="s">
        <v>38</v>
      </c>
      <c r="D18" s="58" t="s">
        <v>38</v>
      </c>
      <c r="E18" s="6">
        <v>255.078</v>
      </c>
      <c r="F18" s="7">
        <v>30.643000000000001</v>
      </c>
      <c r="G18" s="7">
        <v>10672</v>
      </c>
      <c r="H18" s="7">
        <v>0</v>
      </c>
      <c r="I18" s="8">
        <v>7</v>
      </c>
      <c r="J18" s="5">
        <v>0</v>
      </c>
      <c r="K18" s="5" t="s">
        <v>14</v>
      </c>
      <c r="L18" s="21">
        <v>99.86</v>
      </c>
      <c r="M18" s="22">
        <v>4261830</v>
      </c>
      <c r="N18" s="22">
        <v>4322642</v>
      </c>
      <c r="O18" s="23">
        <v>99.9</v>
      </c>
    </row>
    <row r="19" spans="1:15" ht="18" customHeight="1">
      <c r="A19" s="47">
        <v>17</v>
      </c>
      <c r="B19" s="44" t="s">
        <v>187</v>
      </c>
      <c r="C19" s="1" t="s">
        <v>40</v>
      </c>
      <c r="D19" s="57" t="s">
        <v>40</v>
      </c>
      <c r="E19" s="2">
        <v>208.17599999999999</v>
      </c>
      <c r="F19" s="3">
        <v>25.637</v>
      </c>
      <c r="G19" s="3">
        <v>10828</v>
      </c>
      <c r="H19" s="3">
        <v>0</v>
      </c>
      <c r="I19" s="4">
        <v>3</v>
      </c>
      <c r="J19" s="5">
        <v>0</v>
      </c>
      <c r="K19" s="5" t="s">
        <v>14</v>
      </c>
      <c r="L19" s="17">
        <v>95.55</v>
      </c>
      <c r="M19" s="18">
        <v>1927187</v>
      </c>
      <c r="N19" s="18">
        <v>2387178</v>
      </c>
      <c r="O19" s="19">
        <v>99.7</v>
      </c>
    </row>
    <row r="20" spans="1:15" ht="18" customHeight="1">
      <c r="A20" s="47">
        <v>18</v>
      </c>
      <c r="B20" s="44" t="s">
        <v>188</v>
      </c>
      <c r="C20" s="20" t="s">
        <v>40</v>
      </c>
      <c r="D20" s="58" t="s">
        <v>40</v>
      </c>
      <c r="E20" s="6">
        <v>313.459</v>
      </c>
      <c r="F20" s="7">
        <v>38.454000000000001</v>
      </c>
      <c r="G20" s="7">
        <v>10824</v>
      </c>
      <c r="H20" s="7">
        <v>0</v>
      </c>
      <c r="I20" s="8">
        <v>7</v>
      </c>
      <c r="J20" s="5">
        <v>0</v>
      </c>
      <c r="K20" s="5" t="s">
        <v>14</v>
      </c>
      <c r="L20" s="21">
        <v>44.78</v>
      </c>
      <c r="M20" s="22">
        <v>2764418</v>
      </c>
      <c r="N20" s="22">
        <v>4441648</v>
      </c>
      <c r="O20" s="23">
        <v>99.5</v>
      </c>
    </row>
    <row r="21" spans="1:15" s="67" customFormat="1" ht="18" customHeight="1">
      <c r="A21" s="59">
        <v>19</v>
      </c>
      <c r="B21" s="60" t="s">
        <v>189</v>
      </c>
      <c r="C21" s="71" t="s">
        <v>43</v>
      </c>
      <c r="D21" s="72" t="s">
        <v>38</v>
      </c>
      <c r="E21" s="73">
        <v>43.933</v>
      </c>
      <c r="F21" s="74">
        <v>4.407</v>
      </c>
      <c r="G21" s="74">
        <v>10828</v>
      </c>
      <c r="H21" s="74">
        <v>0.2</v>
      </c>
      <c r="I21" s="75">
        <v>8</v>
      </c>
      <c r="J21" s="66">
        <v>0</v>
      </c>
      <c r="K21" s="66" t="s">
        <v>14</v>
      </c>
      <c r="L21" s="76">
        <v>90.25</v>
      </c>
      <c r="M21" s="77">
        <v>9604</v>
      </c>
      <c r="N21" s="77">
        <v>10641</v>
      </c>
      <c r="O21" s="78">
        <v>100</v>
      </c>
    </row>
    <row r="22" spans="1:15" s="35" customFormat="1" ht="18" customHeight="1">
      <c r="A22" s="48">
        <v>20</v>
      </c>
      <c r="B22" s="46" t="s">
        <v>190</v>
      </c>
      <c r="C22" s="39" t="s">
        <v>45</v>
      </c>
      <c r="D22" s="80" t="s">
        <v>231</v>
      </c>
      <c r="E22" s="36">
        <v>286.84899999999999</v>
      </c>
      <c r="F22" s="37">
        <v>35.847999999999999</v>
      </c>
      <c r="G22" s="37">
        <v>10832</v>
      </c>
      <c r="H22" s="37">
        <v>0</v>
      </c>
      <c r="I22" s="38">
        <v>3</v>
      </c>
      <c r="J22" s="31">
        <v>0</v>
      </c>
      <c r="K22" s="31" t="s">
        <v>14</v>
      </c>
      <c r="L22" s="40">
        <v>86.8</v>
      </c>
      <c r="M22" s="41">
        <v>2080809</v>
      </c>
      <c r="N22" s="41">
        <v>7685661</v>
      </c>
      <c r="O22" s="42">
        <v>97.5</v>
      </c>
    </row>
    <row r="23" spans="1:15" ht="18" customHeight="1">
      <c r="A23" s="47">
        <v>21</v>
      </c>
      <c r="B23" s="44" t="s">
        <v>191</v>
      </c>
      <c r="C23" s="1" t="s">
        <v>23</v>
      </c>
      <c r="D23" s="57" t="s">
        <v>23</v>
      </c>
      <c r="E23" s="2">
        <v>225.80199999999999</v>
      </c>
      <c r="F23" s="3">
        <v>25.835999999999999</v>
      </c>
      <c r="G23" s="3">
        <v>10820</v>
      </c>
      <c r="H23" s="3">
        <v>0</v>
      </c>
      <c r="I23" s="4">
        <v>3</v>
      </c>
      <c r="J23" s="5">
        <v>0</v>
      </c>
      <c r="K23" s="5" t="s">
        <v>14</v>
      </c>
      <c r="L23" s="17">
        <v>99.85</v>
      </c>
      <c r="M23" s="18">
        <v>2201753</v>
      </c>
      <c r="N23" s="18">
        <v>2243301</v>
      </c>
      <c r="O23" s="19">
        <v>100</v>
      </c>
    </row>
    <row r="24" spans="1:15" ht="18" customHeight="1">
      <c r="A24" s="47">
        <v>22</v>
      </c>
      <c r="B24" s="44" t="s">
        <v>192</v>
      </c>
      <c r="C24" s="20" t="s">
        <v>23</v>
      </c>
      <c r="D24" s="58" t="s">
        <v>23</v>
      </c>
      <c r="E24" s="6">
        <v>439.17599999999999</v>
      </c>
      <c r="F24" s="7">
        <v>49.470999999999997</v>
      </c>
      <c r="G24" s="7">
        <v>10796</v>
      </c>
      <c r="H24" s="7">
        <v>0</v>
      </c>
      <c r="I24" s="8">
        <v>3</v>
      </c>
      <c r="J24" s="5">
        <v>0</v>
      </c>
      <c r="K24" s="5" t="s">
        <v>14</v>
      </c>
      <c r="L24" s="21">
        <v>99.59</v>
      </c>
      <c r="M24" s="22">
        <v>7159609</v>
      </c>
      <c r="N24" s="22">
        <v>8575119</v>
      </c>
      <c r="O24" s="23">
        <v>98.1</v>
      </c>
    </row>
    <row r="25" spans="1:15" s="35" customFormat="1" ht="18" customHeight="1">
      <c r="A25" s="48">
        <v>23</v>
      </c>
      <c r="B25" s="46" t="s">
        <v>193</v>
      </c>
      <c r="C25" s="27" t="s">
        <v>49</v>
      </c>
      <c r="D25" s="79" t="s">
        <v>23</v>
      </c>
      <c r="E25" s="28">
        <v>5.258</v>
      </c>
      <c r="F25" s="29">
        <v>2.8039999999999998</v>
      </c>
      <c r="G25" s="29">
        <v>10832</v>
      </c>
      <c r="H25" s="29">
        <v>0.4</v>
      </c>
      <c r="I25" s="30">
        <v>6</v>
      </c>
      <c r="J25" s="31">
        <v>0</v>
      </c>
      <c r="K25" s="31" t="s">
        <v>14</v>
      </c>
      <c r="L25" s="32">
        <v>83.89</v>
      </c>
      <c r="M25" s="33">
        <v>27993</v>
      </c>
      <c r="N25" s="33">
        <v>125778</v>
      </c>
      <c r="O25" s="34">
        <v>98.7</v>
      </c>
    </row>
    <row r="26" spans="1:15" ht="18" customHeight="1">
      <c r="A26" s="47">
        <v>24</v>
      </c>
      <c r="B26" s="44" t="s">
        <v>194</v>
      </c>
      <c r="C26" s="20" t="s">
        <v>21</v>
      </c>
      <c r="D26" s="58" t="s">
        <v>21</v>
      </c>
      <c r="E26" s="6">
        <v>192.642</v>
      </c>
      <c r="F26" s="7">
        <v>20.831</v>
      </c>
      <c r="G26" s="7">
        <v>10824</v>
      </c>
      <c r="H26" s="7">
        <v>0</v>
      </c>
      <c r="I26" s="8">
        <v>3</v>
      </c>
      <c r="J26" s="5">
        <v>0</v>
      </c>
      <c r="K26" s="5" t="s">
        <v>14</v>
      </c>
      <c r="L26" s="21">
        <v>99.39</v>
      </c>
      <c r="M26" s="22">
        <v>1990721</v>
      </c>
      <c r="N26" s="22">
        <v>2141549</v>
      </c>
      <c r="O26" s="23">
        <v>99.5</v>
      </c>
    </row>
    <row r="27" spans="1:15" ht="18" customHeight="1">
      <c r="A27" s="47">
        <v>25</v>
      </c>
      <c r="B27" s="44" t="s">
        <v>195</v>
      </c>
      <c r="C27" s="1" t="s">
        <v>23</v>
      </c>
      <c r="D27" s="57" t="s">
        <v>23</v>
      </c>
      <c r="E27" s="2">
        <v>262.82</v>
      </c>
      <c r="F27" s="3">
        <v>29.239000000000001</v>
      </c>
      <c r="G27" s="3">
        <v>10828</v>
      </c>
      <c r="H27" s="3">
        <v>0</v>
      </c>
      <c r="I27" s="4">
        <v>4</v>
      </c>
      <c r="J27" s="5">
        <v>0</v>
      </c>
      <c r="K27" s="5" t="s">
        <v>14</v>
      </c>
      <c r="L27" s="17">
        <v>99.92</v>
      </c>
      <c r="M27" s="18">
        <v>2715807</v>
      </c>
      <c r="N27" s="18">
        <v>2765948</v>
      </c>
      <c r="O27" s="19">
        <v>100</v>
      </c>
    </row>
    <row r="28" spans="1:15" s="67" customFormat="1" ht="18" customHeight="1">
      <c r="A28" s="59">
        <v>26</v>
      </c>
      <c r="B28" s="46" t="s">
        <v>196</v>
      </c>
      <c r="C28" s="39" t="s">
        <v>53</v>
      </c>
      <c r="D28" s="80" t="s">
        <v>232</v>
      </c>
      <c r="E28" s="63">
        <v>4.6070000000000002</v>
      </c>
      <c r="F28" s="64">
        <v>2.605</v>
      </c>
      <c r="G28" s="64">
        <v>10824</v>
      </c>
      <c r="H28" s="64">
        <v>0.4</v>
      </c>
      <c r="I28" s="65">
        <v>4</v>
      </c>
      <c r="J28" s="66">
        <v>0</v>
      </c>
      <c r="K28" s="66" t="s">
        <v>14</v>
      </c>
      <c r="L28" s="68">
        <v>36.450000000000003</v>
      </c>
      <c r="M28" s="69">
        <v>5956</v>
      </c>
      <c r="N28" s="69">
        <v>16340</v>
      </c>
      <c r="O28" s="70">
        <v>99.8</v>
      </c>
    </row>
    <row r="29" spans="1:15" ht="18" customHeight="1">
      <c r="A29" s="47">
        <v>27</v>
      </c>
      <c r="B29" s="45" t="s">
        <v>197</v>
      </c>
      <c r="C29" s="1" t="s">
        <v>55</v>
      </c>
      <c r="D29" s="57" t="s">
        <v>55</v>
      </c>
      <c r="E29" s="2">
        <v>88.539000000000001</v>
      </c>
      <c r="F29" s="3">
        <v>12.417999999999999</v>
      </c>
      <c r="G29" s="3">
        <v>10824</v>
      </c>
      <c r="H29" s="3">
        <v>0.1</v>
      </c>
      <c r="I29" s="4">
        <v>3</v>
      </c>
      <c r="J29" s="5">
        <v>0</v>
      </c>
      <c r="K29" s="5" t="s">
        <v>14</v>
      </c>
      <c r="L29" s="17">
        <v>86.83</v>
      </c>
      <c r="M29" s="18">
        <v>1089424</v>
      </c>
      <c r="N29" s="18">
        <v>2827350</v>
      </c>
      <c r="O29" s="19">
        <v>96</v>
      </c>
    </row>
    <row r="30" spans="1:15" ht="18" customHeight="1">
      <c r="A30" s="47">
        <v>28</v>
      </c>
      <c r="B30" s="44" t="s">
        <v>198</v>
      </c>
      <c r="C30" s="20" t="s">
        <v>38</v>
      </c>
      <c r="D30" s="58" t="s">
        <v>38</v>
      </c>
      <c r="E30" s="6">
        <v>102.389</v>
      </c>
      <c r="F30" s="7">
        <v>14.019</v>
      </c>
      <c r="G30" s="7">
        <v>10772</v>
      </c>
      <c r="H30" s="7">
        <v>0.1</v>
      </c>
      <c r="I30" s="8">
        <v>3</v>
      </c>
      <c r="J30" s="5">
        <v>0</v>
      </c>
      <c r="K30" s="5" t="s">
        <v>14</v>
      </c>
      <c r="L30" s="21">
        <v>99.81</v>
      </c>
      <c r="M30" s="22">
        <v>1706583</v>
      </c>
      <c r="N30" s="22">
        <v>1764288</v>
      </c>
      <c r="O30" s="23">
        <v>97.7</v>
      </c>
    </row>
    <row r="31" spans="1:15" ht="18" customHeight="1">
      <c r="A31" s="47">
        <v>29</v>
      </c>
      <c r="B31" s="44" t="s">
        <v>199</v>
      </c>
      <c r="C31" s="1" t="s">
        <v>38</v>
      </c>
      <c r="D31" s="57" t="s">
        <v>38</v>
      </c>
      <c r="E31" s="2">
        <v>98.852999999999994</v>
      </c>
      <c r="F31" s="3">
        <v>13.618</v>
      </c>
      <c r="G31" s="3">
        <v>10820</v>
      </c>
      <c r="H31" s="3">
        <v>0.1</v>
      </c>
      <c r="I31" s="4">
        <v>3</v>
      </c>
      <c r="J31" s="5">
        <v>0</v>
      </c>
      <c r="K31" s="5" t="s">
        <v>14</v>
      </c>
      <c r="L31" s="17">
        <v>93.34</v>
      </c>
      <c r="M31" s="18">
        <v>1629613</v>
      </c>
      <c r="N31" s="18">
        <v>1816765</v>
      </c>
      <c r="O31" s="19">
        <v>96.1</v>
      </c>
    </row>
    <row r="32" spans="1:15" ht="18" customHeight="1">
      <c r="A32" s="47">
        <v>30</v>
      </c>
      <c r="B32" s="44" t="s">
        <v>200</v>
      </c>
      <c r="C32" s="20" t="s">
        <v>23</v>
      </c>
      <c r="D32" s="58" t="s">
        <v>23</v>
      </c>
      <c r="E32" s="6">
        <v>203.64400000000001</v>
      </c>
      <c r="F32" s="7">
        <v>23.632999999999999</v>
      </c>
      <c r="G32" s="7">
        <v>10820</v>
      </c>
      <c r="H32" s="7">
        <v>0</v>
      </c>
      <c r="I32" s="8">
        <v>3</v>
      </c>
      <c r="J32" s="5">
        <v>0</v>
      </c>
      <c r="K32" s="5" t="s">
        <v>14</v>
      </c>
      <c r="L32" s="21">
        <v>99.87</v>
      </c>
      <c r="M32" s="22">
        <v>2247451</v>
      </c>
      <c r="N32" s="22">
        <v>2302189</v>
      </c>
      <c r="O32" s="23">
        <v>100</v>
      </c>
    </row>
    <row r="33" spans="1:15" ht="18" customHeight="1">
      <c r="A33" s="47">
        <v>31</v>
      </c>
      <c r="B33" s="44" t="s">
        <v>201</v>
      </c>
      <c r="C33" s="1" t="s">
        <v>55</v>
      </c>
      <c r="D33" s="57" t="s">
        <v>55</v>
      </c>
      <c r="E33" s="2">
        <v>62.295999999999999</v>
      </c>
      <c r="F33" s="3">
        <v>9.4130000000000003</v>
      </c>
      <c r="G33" s="3">
        <v>10808</v>
      </c>
      <c r="H33" s="3">
        <v>0.1</v>
      </c>
      <c r="I33" s="4">
        <v>3</v>
      </c>
      <c r="J33" s="5">
        <v>0</v>
      </c>
      <c r="K33" s="5" t="s">
        <v>14</v>
      </c>
      <c r="L33" s="17">
        <v>79.33</v>
      </c>
      <c r="M33" s="18">
        <v>698317</v>
      </c>
      <c r="N33" s="18">
        <v>2075237</v>
      </c>
      <c r="O33" s="19">
        <v>94.4</v>
      </c>
    </row>
    <row r="34" spans="1:15" ht="18" customHeight="1">
      <c r="A34" s="47">
        <v>32</v>
      </c>
      <c r="B34" s="44" t="s">
        <v>202</v>
      </c>
      <c r="C34" s="20" t="s">
        <v>38</v>
      </c>
      <c r="D34" s="58" t="s">
        <v>38</v>
      </c>
      <c r="E34" s="6">
        <v>130.369</v>
      </c>
      <c r="F34" s="7">
        <v>17.425000000000001</v>
      </c>
      <c r="G34" s="7">
        <v>10832</v>
      </c>
      <c r="H34" s="7">
        <v>0.1</v>
      </c>
      <c r="I34" s="8">
        <v>3</v>
      </c>
      <c r="J34" s="5">
        <v>0</v>
      </c>
      <c r="K34" s="5" t="s">
        <v>14</v>
      </c>
      <c r="L34" s="21">
        <v>99.91</v>
      </c>
      <c r="M34" s="22">
        <v>2193124</v>
      </c>
      <c r="N34" s="22">
        <v>2209696</v>
      </c>
      <c r="O34" s="23">
        <v>100</v>
      </c>
    </row>
    <row r="35" spans="1:15" s="35" customFormat="1" ht="18" customHeight="1">
      <c r="A35" s="48">
        <v>33</v>
      </c>
      <c r="B35" s="46" t="s">
        <v>203</v>
      </c>
      <c r="C35" s="27" t="s">
        <v>45</v>
      </c>
      <c r="D35" s="79" t="s">
        <v>231</v>
      </c>
      <c r="E35" s="28">
        <v>105.77800000000001</v>
      </c>
      <c r="F35" s="29">
        <v>14.22</v>
      </c>
      <c r="G35" s="29">
        <v>10824</v>
      </c>
      <c r="H35" s="29">
        <v>0.1</v>
      </c>
      <c r="I35" s="30">
        <v>3</v>
      </c>
      <c r="J35" s="31">
        <v>0</v>
      </c>
      <c r="K35" s="31" t="s">
        <v>14</v>
      </c>
      <c r="L35" s="32">
        <v>86.15</v>
      </c>
      <c r="M35" s="33">
        <v>780978</v>
      </c>
      <c r="N35" s="33">
        <v>3017034</v>
      </c>
      <c r="O35" s="34">
        <v>97.5</v>
      </c>
    </row>
    <row r="36" spans="1:15" ht="18" customHeight="1">
      <c r="A36" s="47">
        <v>34</v>
      </c>
      <c r="B36" s="44" t="s">
        <v>204</v>
      </c>
      <c r="C36" s="20" t="s">
        <v>15</v>
      </c>
      <c r="D36" s="58" t="s">
        <v>15</v>
      </c>
      <c r="E36" s="6">
        <v>88.85</v>
      </c>
      <c r="F36" s="7">
        <v>12.018000000000001</v>
      </c>
      <c r="G36" s="7">
        <v>10800</v>
      </c>
      <c r="H36" s="7">
        <v>0.1</v>
      </c>
      <c r="I36" s="8">
        <v>3</v>
      </c>
      <c r="J36" s="5">
        <v>0</v>
      </c>
      <c r="K36" s="5" t="s">
        <v>14</v>
      </c>
      <c r="L36" s="21">
        <v>89.01</v>
      </c>
      <c r="M36" s="22">
        <v>885064</v>
      </c>
      <c r="N36" s="22">
        <v>1100660</v>
      </c>
      <c r="O36" s="23">
        <v>99.9</v>
      </c>
    </row>
    <row r="37" spans="1:15" ht="18" customHeight="1">
      <c r="A37" s="47">
        <v>35</v>
      </c>
      <c r="B37" s="44" t="s">
        <v>205</v>
      </c>
      <c r="C37" s="1" t="s">
        <v>15</v>
      </c>
      <c r="D37" s="57" t="s">
        <v>15</v>
      </c>
      <c r="E37" s="2">
        <v>71.043999999999997</v>
      </c>
      <c r="F37" s="3">
        <v>10.015000000000001</v>
      </c>
      <c r="G37" s="3">
        <v>10800</v>
      </c>
      <c r="H37" s="3">
        <v>0.1</v>
      </c>
      <c r="I37" s="4">
        <v>3</v>
      </c>
      <c r="J37" s="5">
        <v>0</v>
      </c>
      <c r="K37" s="5" t="s">
        <v>14</v>
      </c>
      <c r="L37" s="17">
        <v>98.19</v>
      </c>
      <c r="M37" s="18">
        <v>749999</v>
      </c>
      <c r="N37" s="18">
        <v>889413</v>
      </c>
      <c r="O37" s="19">
        <v>98.4</v>
      </c>
    </row>
    <row r="38" spans="1:15" ht="18" customHeight="1">
      <c r="A38" s="47">
        <v>36</v>
      </c>
      <c r="B38" s="44" t="s">
        <v>206</v>
      </c>
      <c r="C38" s="20" t="s">
        <v>23</v>
      </c>
      <c r="D38" s="58" t="s">
        <v>23</v>
      </c>
      <c r="E38" s="6">
        <v>19.408999999999999</v>
      </c>
      <c r="F38" s="7">
        <v>4.2069999999999999</v>
      </c>
      <c r="G38" s="7">
        <v>10820</v>
      </c>
      <c r="H38" s="7">
        <v>0.5</v>
      </c>
      <c r="I38" s="8">
        <v>3</v>
      </c>
      <c r="J38" s="5">
        <v>0</v>
      </c>
      <c r="K38" s="5" t="s">
        <v>14</v>
      </c>
      <c r="L38" s="21">
        <v>99.88</v>
      </c>
      <c r="M38" s="22">
        <v>215461</v>
      </c>
      <c r="N38" s="22">
        <v>226915</v>
      </c>
      <c r="O38" s="23">
        <v>99.4</v>
      </c>
    </row>
    <row r="39" spans="1:15" s="67" customFormat="1" ht="18" customHeight="1">
      <c r="A39" s="59">
        <v>37</v>
      </c>
      <c r="B39" s="60" t="s">
        <v>207</v>
      </c>
      <c r="C39" s="71" t="s">
        <v>66</v>
      </c>
      <c r="D39" s="72" t="s">
        <v>40</v>
      </c>
      <c r="E39" s="73">
        <v>9.4169999999999998</v>
      </c>
      <c r="F39" s="74">
        <v>3.4049999999999998</v>
      </c>
      <c r="G39" s="74">
        <v>10772</v>
      </c>
      <c r="H39" s="74">
        <v>0.3</v>
      </c>
      <c r="I39" s="75">
        <v>3</v>
      </c>
      <c r="J39" s="66">
        <v>0</v>
      </c>
      <c r="K39" s="66" t="s">
        <v>14</v>
      </c>
      <c r="L39" s="76">
        <v>58.69</v>
      </c>
      <c r="M39" s="77">
        <v>278224</v>
      </c>
      <c r="N39" s="77">
        <v>474023</v>
      </c>
      <c r="O39" s="78">
        <v>100</v>
      </c>
    </row>
    <row r="40" spans="1:15" s="67" customFormat="1" ht="18" customHeight="1">
      <c r="A40" s="59">
        <v>38</v>
      </c>
      <c r="B40" s="60" t="s">
        <v>208</v>
      </c>
      <c r="C40" s="61" t="s">
        <v>66</v>
      </c>
      <c r="D40" s="62" t="s">
        <v>40</v>
      </c>
      <c r="E40" s="63">
        <v>8.8109999999999999</v>
      </c>
      <c r="F40" s="64">
        <v>3.2050000000000001</v>
      </c>
      <c r="G40" s="64">
        <v>10708</v>
      </c>
      <c r="H40" s="64">
        <v>0.3</v>
      </c>
      <c r="I40" s="65">
        <v>3</v>
      </c>
      <c r="J40" s="66">
        <v>0</v>
      </c>
      <c r="K40" s="66" t="s">
        <v>14</v>
      </c>
      <c r="L40" s="68">
        <v>59.41</v>
      </c>
      <c r="M40" s="69">
        <v>230987</v>
      </c>
      <c r="N40" s="69">
        <v>388799</v>
      </c>
      <c r="O40" s="70">
        <v>100</v>
      </c>
    </row>
    <row r="41" spans="1:15" s="67" customFormat="1" ht="18" customHeight="1">
      <c r="A41" s="59">
        <v>39</v>
      </c>
      <c r="B41" s="60" t="s">
        <v>209</v>
      </c>
      <c r="C41" s="71" t="s">
        <v>66</v>
      </c>
      <c r="D41" s="72" t="s">
        <v>40</v>
      </c>
      <c r="E41" s="73">
        <v>6.0259999999999998</v>
      </c>
      <c r="F41" s="74">
        <v>3.0049999999999999</v>
      </c>
      <c r="G41" s="74">
        <v>10796</v>
      </c>
      <c r="H41" s="74">
        <v>0.3</v>
      </c>
      <c r="I41" s="75">
        <v>4</v>
      </c>
      <c r="J41" s="66">
        <v>0</v>
      </c>
      <c r="K41" s="66" t="s">
        <v>14</v>
      </c>
      <c r="L41" s="76">
        <v>65.78</v>
      </c>
      <c r="M41" s="77">
        <v>147994</v>
      </c>
      <c r="N41" s="77">
        <v>224979</v>
      </c>
      <c r="O41" s="78">
        <v>100</v>
      </c>
    </row>
    <row r="42" spans="1:15" s="67" customFormat="1" ht="18" customHeight="1">
      <c r="A42" s="59">
        <v>40</v>
      </c>
      <c r="B42" s="60" t="s">
        <v>210</v>
      </c>
      <c r="C42" s="61" t="s">
        <v>70</v>
      </c>
      <c r="D42" s="62" t="s">
        <v>233</v>
      </c>
      <c r="E42" s="63">
        <v>25.26</v>
      </c>
      <c r="F42" s="64">
        <v>3.2050000000000001</v>
      </c>
      <c r="G42" s="64">
        <v>10824</v>
      </c>
      <c r="H42" s="64">
        <v>0.3</v>
      </c>
      <c r="I42" s="65">
        <v>3</v>
      </c>
      <c r="J42" s="66">
        <v>0</v>
      </c>
      <c r="K42" s="66" t="s">
        <v>14</v>
      </c>
      <c r="L42" s="68">
        <v>85.08</v>
      </c>
      <c r="M42" s="69">
        <v>53797</v>
      </c>
      <c r="N42" s="69">
        <v>63228</v>
      </c>
      <c r="O42" s="70">
        <v>100</v>
      </c>
    </row>
    <row r="43" spans="1:15" s="67" customFormat="1" ht="18" customHeight="1">
      <c r="A43" s="59">
        <v>41</v>
      </c>
      <c r="B43" s="60" t="s">
        <v>211</v>
      </c>
      <c r="C43" s="71" t="s">
        <v>70</v>
      </c>
      <c r="D43" s="72" t="s">
        <v>234</v>
      </c>
      <c r="E43" s="73">
        <v>25.693000000000001</v>
      </c>
      <c r="F43" s="74">
        <v>3.4049999999999998</v>
      </c>
      <c r="G43" s="74">
        <v>10828</v>
      </c>
      <c r="H43" s="74">
        <v>0.3</v>
      </c>
      <c r="I43" s="75">
        <v>5</v>
      </c>
      <c r="J43" s="66">
        <v>0</v>
      </c>
      <c r="K43" s="66" t="s">
        <v>14</v>
      </c>
      <c r="L43" s="76">
        <v>92.77</v>
      </c>
      <c r="M43" s="77">
        <v>60660</v>
      </c>
      <c r="N43" s="77">
        <v>65388</v>
      </c>
      <c r="O43" s="78">
        <v>99.7</v>
      </c>
    </row>
    <row r="44" spans="1:15" ht="18" customHeight="1">
      <c r="A44" s="47">
        <v>42</v>
      </c>
      <c r="B44" s="44" t="s">
        <v>212</v>
      </c>
      <c r="C44" s="20" t="s">
        <v>23</v>
      </c>
      <c r="D44" s="58" t="s">
        <v>23</v>
      </c>
      <c r="E44" s="6">
        <v>76.927000000000007</v>
      </c>
      <c r="F44" s="7">
        <v>10.616</v>
      </c>
      <c r="G44" s="7">
        <v>10824</v>
      </c>
      <c r="H44" s="7">
        <v>0.1</v>
      </c>
      <c r="I44" s="8">
        <v>3</v>
      </c>
      <c r="J44" s="5">
        <v>0</v>
      </c>
      <c r="K44" s="5" t="s">
        <v>14</v>
      </c>
      <c r="L44" s="21">
        <v>99.45</v>
      </c>
      <c r="M44" s="22">
        <v>841700</v>
      </c>
      <c r="N44" s="22">
        <v>908576</v>
      </c>
      <c r="O44" s="23">
        <v>99.4</v>
      </c>
    </row>
    <row r="45" spans="1:15" ht="18" customHeight="1">
      <c r="A45" s="47">
        <v>43</v>
      </c>
      <c r="B45" s="44" t="s">
        <v>213</v>
      </c>
      <c r="C45" s="1" t="s">
        <v>15</v>
      </c>
      <c r="D45" s="57" t="s">
        <v>15</v>
      </c>
      <c r="E45" s="2">
        <v>149.94499999999999</v>
      </c>
      <c r="F45" s="3">
        <v>19.425999999999998</v>
      </c>
      <c r="G45" s="3">
        <v>10824</v>
      </c>
      <c r="H45" s="3">
        <v>0.1</v>
      </c>
      <c r="I45" s="4">
        <v>3</v>
      </c>
      <c r="J45" s="5">
        <v>0</v>
      </c>
      <c r="K45" s="5" t="s">
        <v>14</v>
      </c>
      <c r="L45" s="17">
        <v>97.57</v>
      </c>
      <c r="M45" s="18">
        <v>2529068</v>
      </c>
      <c r="N45" s="18">
        <v>3349423</v>
      </c>
      <c r="O45" s="19">
        <v>99.3</v>
      </c>
    </row>
    <row r="46" spans="1:15" ht="18" customHeight="1">
      <c r="A46" s="47">
        <v>44</v>
      </c>
      <c r="B46" s="45" t="s">
        <v>214</v>
      </c>
      <c r="C46" s="20" t="s">
        <v>15</v>
      </c>
      <c r="D46" s="58" t="s">
        <v>15</v>
      </c>
      <c r="E46" s="6">
        <v>157.08600000000001</v>
      </c>
      <c r="F46" s="7">
        <v>18.026</v>
      </c>
      <c r="G46" s="7">
        <v>10828</v>
      </c>
      <c r="H46" s="7">
        <v>0.1</v>
      </c>
      <c r="I46" s="8">
        <v>0</v>
      </c>
      <c r="J46" s="5">
        <v>0</v>
      </c>
      <c r="K46" s="5" t="s">
        <v>14</v>
      </c>
      <c r="L46" s="21">
        <v>93.75</v>
      </c>
      <c r="M46" s="22">
        <v>2839877</v>
      </c>
      <c r="N46" s="22">
        <v>5025666</v>
      </c>
      <c r="O46" s="23">
        <v>100</v>
      </c>
    </row>
    <row r="47" spans="1:15" s="35" customFormat="1" ht="18" customHeight="1">
      <c r="A47" s="48">
        <v>45</v>
      </c>
      <c r="B47" s="46" t="s">
        <v>215</v>
      </c>
      <c r="C47" s="27" t="s">
        <v>76</v>
      </c>
      <c r="D47" s="79" t="s">
        <v>15</v>
      </c>
      <c r="E47" s="28">
        <v>257.084</v>
      </c>
      <c r="F47" s="29">
        <v>31.844000000000001</v>
      </c>
      <c r="G47" s="43">
        <v>10820</v>
      </c>
      <c r="H47" s="29">
        <v>0</v>
      </c>
      <c r="I47" s="30">
        <v>0</v>
      </c>
      <c r="J47" s="31">
        <v>0</v>
      </c>
      <c r="K47" s="31" t="s">
        <v>14</v>
      </c>
      <c r="L47" s="32">
        <v>43.5</v>
      </c>
      <c r="M47" s="33">
        <v>1898403</v>
      </c>
      <c r="N47" s="33">
        <v>8198764</v>
      </c>
      <c r="O47" s="34">
        <v>99.7</v>
      </c>
    </row>
    <row r="48" spans="1:15" s="67" customFormat="1" ht="18" customHeight="1">
      <c r="A48" s="59">
        <v>46</v>
      </c>
      <c r="B48" s="60" t="s">
        <v>216</v>
      </c>
      <c r="C48" s="61" t="s">
        <v>78</v>
      </c>
      <c r="D48" s="62" t="s">
        <v>15</v>
      </c>
      <c r="E48" s="63">
        <v>95.094999999999999</v>
      </c>
      <c r="F48" s="64">
        <v>16.222000000000001</v>
      </c>
      <c r="G48" s="64">
        <v>10800</v>
      </c>
      <c r="H48" s="64">
        <v>0.1</v>
      </c>
      <c r="I48" s="65">
        <v>0</v>
      </c>
      <c r="J48" s="66">
        <v>0</v>
      </c>
      <c r="K48" s="66" t="s">
        <v>14</v>
      </c>
      <c r="L48" s="68">
        <v>93.16</v>
      </c>
      <c r="M48" s="69">
        <v>25876</v>
      </c>
      <c r="N48" s="69">
        <v>27776</v>
      </c>
      <c r="O48" s="70">
        <v>99.9</v>
      </c>
    </row>
    <row r="49" spans="1:15" ht="18" customHeight="1">
      <c r="A49" s="47">
        <v>47</v>
      </c>
      <c r="B49" s="44" t="s">
        <v>217</v>
      </c>
      <c r="C49" s="1" t="s">
        <v>15</v>
      </c>
      <c r="D49" s="57" t="s">
        <v>15</v>
      </c>
      <c r="E49" s="2">
        <v>196.89500000000001</v>
      </c>
      <c r="F49" s="3">
        <v>25.234999999999999</v>
      </c>
      <c r="G49" s="3">
        <v>10824</v>
      </c>
      <c r="H49" s="3">
        <v>0</v>
      </c>
      <c r="I49" s="4">
        <v>3</v>
      </c>
      <c r="J49" s="5">
        <v>0</v>
      </c>
      <c r="K49" s="5" t="s">
        <v>14</v>
      </c>
      <c r="L49" s="17">
        <v>97.03</v>
      </c>
      <c r="M49" s="18">
        <v>4371350</v>
      </c>
      <c r="N49" s="18">
        <v>6404814</v>
      </c>
      <c r="O49" s="19">
        <v>99.3</v>
      </c>
    </row>
    <row r="50" spans="1:15" ht="18" customHeight="1">
      <c r="A50" s="47">
        <v>48</v>
      </c>
      <c r="B50" s="44" t="s">
        <v>218</v>
      </c>
      <c r="C50" s="20" t="s">
        <v>81</v>
      </c>
      <c r="D50" s="58" t="s">
        <v>235</v>
      </c>
      <c r="E50" s="6">
        <v>133.733</v>
      </c>
      <c r="F50" s="7">
        <v>15.622999999999999</v>
      </c>
      <c r="G50" s="7">
        <v>10816</v>
      </c>
      <c r="H50" s="7">
        <v>0.1</v>
      </c>
      <c r="I50" s="8">
        <v>0</v>
      </c>
      <c r="J50" s="5">
        <v>0</v>
      </c>
      <c r="K50" s="5" t="s">
        <v>14</v>
      </c>
      <c r="L50" s="21">
        <v>76.64</v>
      </c>
      <c r="M50" s="22">
        <v>1379375</v>
      </c>
      <c r="N50" s="22">
        <v>4576834</v>
      </c>
      <c r="O50" s="23">
        <v>100</v>
      </c>
    </row>
    <row r="51" spans="1:15" s="35" customFormat="1" ht="18" customHeight="1">
      <c r="A51" s="48">
        <v>49</v>
      </c>
      <c r="B51" s="46" t="s">
        <v>219</v>
      </c>
      <c r="C51" s="27" t="s">
        <v>26</v>
      </c>
      <c r="D51" s="79" t="s">
        <v>229</v>
      </c>
      <c r="E51" s="28">
        <v>95.695999999999998</v>
      </c>
      <c r="F51" s="29">
        <v>12.016999999999999</v>
      </c>
      <c r="G51" s="29">
        <v>10808</v>
      </c>
      <c r="H51" s="29">
        <v>0.1</v>
      </c>
      <c r="I51" s="30">
        <v>3</v>
      </c>
      <c r="J51" s="31">
        <v>0</v>
      </c>
      <c r="K51" s="31" t="s">
        <v>14</v>
      </c>
      <c r="L51" s="32">
        <v>98.71</v>
      </c>
      <c r="M51" s="33">
        <v>1640770</v>
      </c>
      <c r="N51" s="33">
        <v>6154497</v>
      </c>
      <c r="O51" s="34">
        <v>100</v>
      </c>
    </row>
    <row r="52" spans="1:15" ht="18" customHeight="1">
      <c r="A52" s="47">
        <v>50</v>
      </c>
      <c r="B52" s="44" t="s">
        <v>220</v>
      </c>
      <c r="C52" s="20" t="s">
        <v>23</v>
      </c>
      <c r="D52" s="58" t="s">
        <v>23</v>
      </c>
      <c r="E52" s="6">
        <v>99.6</v>
      </c>
      <c r="F52" s="7">
        <v>13.019</v>
      </c>
      <c r="G52" s="7">
        <v>10828</v>
      </c>
      <c r="H52" s="7">
        <v>0.2</v>
      </c>
      <c r="I52" s="8">
        <v>3</v>
      </c>
      <c r="J52" s="5">
        <v>0</v>
      </c>
      <c r="K52" s="5" t="s">
        <v>14</v>
      </c>
      <c r="L52" s="21">
        <v>99.72</v>
      </c>
      <c r="M52" s="22">
        <v>1148637</v>
      </c>
      <c r="N52" s="22">
        <v>1224111</v>
      </c>
      <c r="O52" s="23">
        <v>99.4</v>
      </c>
    </row>
    <row r="54" spans="1:15">
      <c r="F54" s="9" t="s">
        <v>84</v>
      </c>
      <c r="J54" s="50" t="s">
        <v>221</v>
      </c>
      <c r="K54" s="82">
        <v>0.2</v>
      </c>
    </row>
    <row r="55" spans="1:15">
      <c r="F55" s="10" t="s">
        <v>85</v>
      </c>
      <c r="G55" s="11">
        <f>COUNTA(A3:A52)</f>
        <v>50</v>
      </c>
      <c r="J55" s="50" t="s">
        <v>243</v>
      </c>
      <c r="K55" s="50"/>
    </row>
    <row r="56" spans="1:15">
      <c r="F56" s="10" t="s">
        <v>86</v>
      </c>
      <c r="G56" s="11">
        <f>SUM(F3:F52)</f>
        <v>869.82100000000025</v>
      </c>
      <c r="H56" t="s">
        <v>224</v>
      </c>
    </row>
    <row r="57" spans="1:15">
      <c r="F57" s="10" t="s">
        <v>87</v>
      </c>
      <c r="G57" s="11">
        <f>AVERAGE(F3:F52)</f>
        <v>17.396420000000006</v>
      </c>
    </row>
    <row r="58" spans="1:15">
      <c r="F58" s="10" t="s">
        <v>88</v>
      </c>
      <c r="G58" s="11">
        <f>MAX(G3:G52)</f>
        <v>10832</v>
      </c>
      <c r="H58" t="s">
        <v>225</v>
      </c>
    </row>
    <row r="59" spans="1:15">
      <c r="F59" s="10" t="s">
        <v>240</v>
      </c>
      <c r="G59" s="11">
        <f>MAX(H3:H52)</f>
        <v>0.5</v>
      </c>
    </row>
    <row r="60" spans="1:15">
      <c r="F60" s="10" t="s">
        <v>89</v>
      </c>
      <c r="G60" s="11">
        <f>COUNTIF(K3:K52,"OK")</f>
        <v>50</v>
      </c>
    </row>
    <row r="61" spans="1:15">
      <c r="F61" s="10" t="s">
        <v>5</v>
      </c>
      <c r="G61" s="11">
        <f>MAX(I2:I52)</f>
        <v>8</v>
      </c>
    </row>
    <row r="62" spans="1:15">
      <c r="C62" s="81" t="s">
        <v>238</v>
      </c>
      <c r="F62" s="10" t="s">
        <v>222</v>
      </c>
      <c r="G62" s="11">
        <f>SUM(E3:E52)</f>
        <v>7079.2890000000007</v>
      </c>
      <c r="H62" t="s">
        <v>223</v>
      </c>
    </row>
    <row r="63" spans="1:15">
      <c r="C63" s="81" t="s">
        <v>241</v>
      </c>
    </row>
    <row r="64" spans="1:15">
      <c r="C64" s="81" t="s">
        <v>242</v>
      </c>
    </row>
  </sheetData>
  <conditionalFormatting sqref="F3:F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2">
    <cfRule type="colorScale" priority="2">
      <colorScale>
        <cfvo type="min"/>
        <cfvo type="max"/>
        <color rgb="FF63BE7B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13</v>
      </c>
    </row>
    <row r="3" spans="1:2">
      <c r="A3" s="15" t="s">
        <v>1</v>
      </c>
      <c r="B3" s="16">
        <v>107.82599999999999</v>
      </c>
    </row>
    <row r="4" spans="1:2">
      <c r="A4" s="13" t="s">
        <v>2</v>
      </c>
      <c r="B4" s="14">
        <v>13.619</v>
      </c>
    </row>
    <row r="5" spans="1:2">
      <c r="A5" s="15" t="s">
        <v>3</v>
      </c>
      <c r="B5" s="16">
        <v>10712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15</v>
      </c>
    </row>
    <row r="13" spans="1:2">
      <c r="A13" s="15" t="s">
        <v>9</v>
      </c>
      <c r="B13" s="16" t="s">
        <v>94</v>
      </c>
    </row>
    <row r="14" spans="1:2">
      <c r="A14" s="25" t="s">
        <v>10</v>
      </c>
      <c r="B14" s="26">
        <v>876974</v>
      </c>
    </row>
    <row r="15" spans="1:2">
      <c r="A15" s="15" t="s">
        <v>11</v>
      </c>
      <c r="B15" s="16">
        <v>1213303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15</v>
      </c>
    </row>
    <row r="20" spans="1:2">
      <c r="A20" s="25" t="s">
        <v>9</v>
      </c>
      <c r="B20" s="26" t="s">
        <v>94</v>
      </c>
    </row>
    <row r="21" spans="1:2">
      <c r="A21" s="15" t="s">
        <v>10</v>
      </c>
      <c r="B21" s="16">
        <v>876974</v>
      </c>
    </row>
    <row r="22" spans="1:2">
      <c r="A22" s="25" t="s">
        <v>11</v>
      </c>
      <c r="B22" s="26">
        <v>1213303</v>
      </c>
    </row>
    <row r="23" spans="1:2">
      <c r="A23" s="15" t="s">
        <v>12</v>
      </c>
      <c r="B23" s="16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16</v>
      </c>
    </row>
    <row r="3" spans="1:2">
      <c r="A3" s="15" t="s">
        <v>1</v>
      </c>
      <c r="B3" s="16">
        <v>25.597999999999999</v>
      </c>
    </row>
    <row r="4" spans="1:2">
      <c r="A4" s="13" t="s">
        <v>2</v>
      </c>
      <c r="B4" s="14">
        <v>3.2050000000000001</v>
      </c>
    </row>
    <row r="5" spans="1:2">
      <c r="A5" s="15" t="s">
        <v>3</v>
      </c>
      <c r="B5" s="16">
        <v>10788</v>
      </c>
    </row>
    <row r="6" spans="1:2">
      <c r="A6" s="13" t="s">
        <v>4</v>
      </c>
      <c r="B6" s="14">
        <v>0.3</v>
      </c>
    </row>
    <row r="7" spans="1:2">
      <c r="A7" s="15" t="s">
        <v>5</v>
      </c>
      <c r="B7" s="16">
        <v>5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17</v>
      </c>
    </row>
    <row r="13" spans="1:2">
      <c r="A13" s="15" t="s">
        <v>9</v>
      </c>
      <c r="B13" s="16" t="s">
        <v>97</v>
      </c>
    </row>
    <row r="14" spans="1:2">
      <c r="A14" s="25" t="s">
        <v>10</v>
      </c>
      <c r="B14" s="26">
        <v>28120</v>
      </c>
    </row>
    <row r="15" spans="1:2">
      <c r="A15" s="15" t="s">
        <v>11</v>
      </c>
      <c r="B15" s="16">
        <v>88201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17</v>
      </c>
    </row>
    <row r="20" spans="1:2">
      <c r="A20" s="25" t="s">
        <v>9</v>
      </c>
      <c r="B20" s="26" t="s">
        <v>97</v>
      </c>
    </row>
    <row r="21" spans="1:2">
      <c r="A21" s="15" t="s">
        <v>10</v>
      </c>
      <c r="B21" s="16">
        <v>28120</v>
      </c>
    </row>
    <row r="22" spans="1:2">
      <c r="A22" s="25" t="s">
        <v>11</v>
      </c>
      <c r="B22" s="26">
        <v>88201</v>
      </c>
    </row>
    <row r="23" spans="1:2">
      <c r="A23" s="15" t="s">
        <v>12</v>
      </c>
      <c r="B23" s="16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18</v>
      </c>
    </row>
    <row r="3" spans="1:2">
      <c r="A3" s="15" t="s">
        <v>1</v>
      </c>
      <c r="B3" s="16">
        <v>21.997</v>
      </c>
    </row>
    <row r="4" spans="1:2">
      <c r="A4" s="13" t="s">
        <v>2</v>
      </c>
      <c r="B4" s="14">
        <v>3.806</v>
      </c>
    </row>
    <row r="5" spans="1:2">
      <c r="A5" s="15" t="s">
        <v>3</v>
      </c>
      <c r="B5" s="16">
        <v>10828</v>
      </c>
    </row>
    <row r="6" spans="1:2">
      <c r="A6" s="13" t="s">
        <v>4</v>
      </c>
      <c r="B6" s="14">
        <v>0.5</v>
      </c>
    </row>
    <row r="7" spans="1:2">
      <c r="A7" s="15" t="s">
        <v>5</v>
      </c>
      <c r="B7" s="16">
        <v>6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19</v>
      </c>
    </row>
    <row r="13" spans="1:2">
      <c r="A13" s="15" t="s">
        <v>9</v>
      </c>
      <c r="B13" s="16" t="s">
        <v>99</v>
      </c>
    </row>
    <row r="14" spans="1:2">
      <c r="A14" s="25" t="s">
        <v>10</v>
      </c>
      <c r="B14" s="26">
        <v>122101</v>
      </c>
    </row>
    <row r="15" spans="1:2">
      <c r="A15" s="15" t="s">
        <v>11</v>
      </c>
      <c r="B15" s="16">
        <v>385894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19</v>
      </c>
    </row>
    <row r="20" spans="1:2">
      <c r="A20" s="25" t="s">
        <v>9</v>
      </c>
      <c r="B20" s="26" t="s">
        <v>99</v>
      </c>
    </row>
    <row r="21" spans="1:2">
      <c r="A21" s="15" t="s">
        <v>10</v>
      </c>
      <c r="B21" s="16">
        <v>122101</v>
      </c>
    </row>
    <row r="22" spans="1:2">
      <c r="A22" s="25" t="s">
        <v>11</v>
      </c>
      <c r="B22" s="26">
        <v>385894</v>
      </c>
    </row>
    <row r="23" spans="1:2">
      <c r="A23" s="15" t="s">
        <v>12</v>
      </c>
      <c r="B23" s="16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20</v>
      </c>
    </row>
    <row r="3" spans="1:2">
      <c r="A3" s="15" t="s">
        <v>1</v>
      </c>
      <c r="B3" s="16">
        <v>331.363</v>
      </c>
    </row>
    <row r="4" spans="1:2">
      <c r="A4" s="13" t="s">
        <v>2</v>
      </c>
      <c r="B4" s="14">
        <v>36.850999999999999</v>
      </c>
    </row>
    <row r="5" spans="1:2">
      <c r="A5" s="15" t="s">
        <v>3</v>
      </c>
      <c r="B5" s="16">
        <v>10816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7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21</v>
      </c>
    </row>
    <row r="13" spans="1:2">
      <c r="A13" s="15" t="s">
        <v>9</v>
      </c>
      <c r="B13" s="16" t="s">
        <v>101</v>
      </c>
    </row>
    <row r="14" spans="1:2">
      <c r="A14" s="25" t="s">
        <v>10</v>
      </c>
      <c r="B14" s="26">
        <v>8282449</v>
      </c>
    </row>
    <row r="15" spans="1:2">
      <c r="A15" s="15" t="s">
        <v>11</v>
      </c>
      <c r="B15" s="16">
        <v>9247089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21</v>
      </c>
    </row>
    <row r="20" spans="1:2">
      <c r="A20" s="25" t="s">
        <v>9</v>
      </c>
      <c r="B20" s="26" t="s">
        <v>101</v>
      </c>
    </row>
    <row r="21" spans="1:2">
      <c r="A21" s="15" t="s">
        <v>10</v>
      </c>
      <c r="B21" s="16">
        <v>8282449</v>
      </c>
    </row>
    <row r="22" spans="1:2">
      <c r="A22" s="25" t="s">
        <v>11</v>
      </c>
      <c r="B22" s="26">
        <v>9247089</v>
      </c>
    </row>
    <row r="23" spans="1:2">
      <c r="A23" s="15" t="s">
        <v>12</v>
      </c>
      <c r="B23" s="16" t="s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22</v>
      </c>
    </row>
    <row r="3" spans="1:2">
      <c r="A3" s="15" t="s">
        <v>1</v>
      </c>
      <c r="B3" s="16">
        <v>154.83699999999999</v>
      </c>
    </row>
    <row r="4" spans="1:2">
      <c r="A4" s="13" t="s">
        <v>2</v>
      </c>
      <c r="B4" s="14">
        <v>19.628</v>
      </c>
    </row>
    <row r="5" spans="1:2">
      <c r="A5" s="15" t="s">
        <v>3</v>
      </c>
      <c r="B5" s="16">
        <v>10816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0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23</v>
      </c>
    </row>
    <row r="13" spans="1:2">
      <c r="A13" s="15" t="s">
        <v>9</v>
      </c>
      <c r="B13" s="16" t="s">
        <v>103</v>
      </c>
    </row>
    <row r="14" spans="1:2">
      <c r="A14" s="25" t="s">
        <v>10</v>
      </c>
      <c r="B14" s="26">
        <v>1510360</v>
      </c>
    </row>
    <row r="15" spans="1:2">
      <c r="A15" s="15" t="s">
        <v>11</v>
      </c>
      <c r="B15" s="16">
        <v>1553554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23</v>
      </c>
    </row>
    <row r="20" spans="1:2">
      <c r="A20" s="25" t="s">
        <v>9</v>
      </c>
      <c r="B20" s="26" t="s">
        <v>103</v>
      </c>
    </row>
    <row r="21" spans="1:2">
      <c r="A21" s="15" t="s">
        <v>10</v>
      </c>
      <c r="B21" s="16">
        <v>1510360</v>
      </c>
    </row>
    <row r="22" spans="1:2">
      <c r="A22" s="25" t="s">
        <v>11</v>
      </c>
      <c r="B22" s="26">
        <v>1553554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24</v>
      </c>
    </row>
    <row r="3" spans="1:2">
      <c r="A3" s="15" t="s">
        <v>1</v>
      </c>
      <c r="B3" s="16">
        <v>582.49099999999999</v>
      </c>
    </row>
    <row r="4" spans="1:2">
      <c r="A4" s="13" t="s">
        <v>2</v>
      </c>
      <c r="B4" s="14">
        <v>70.495000000000005</v>
      </c>
    </row>
    <row r="5" spans="1:2">
      <c r="A5" s="15" t="s">
        <v>3</v>
      </c>
      <c r="B5" s="16">
        <v>10828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23</v>
      </c>
    </row>
    <row r="13" spans="1:2">
      <c r="A13" s="15" t="s">
        <v>9</v>
      </c>
      <c r="B13" s="16" t="s">
        <v>104</v>
      </c>
    </row>
    <row r="14" spans="1:2">
      <c r="A14" s="25" t="s">
        <v>10</v>
      </c>
      <c r="B14" s="26">
        <v>15274853</v>
      </c>
    </row>
    <row r="15" spans="1:2">
      <c r="A15" s="15" t="s">
        <v>11</v>
      </c>
      <c r="B15" s="16">
        <v>17172099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23</v>
      </c>
    </row>
    <row r="20" spans="1:2">
      <c r="A20" s="25" t="s">
        <v>9</v>
      </c>
      <c r="B20" s="26" t="s">
        <v>104</v>
      </c>
    </row>
    <row r="21" spans="1:2">
      <c r="A21" s="15" t="s">
        <v>10</v>
      </c>
      <c r="B21" s="16">
        <v>15274853</v>
      </c>
    </row>
    <row r="22" spans="1:2">
      <c r="A22" s="25" t="s">
        <v>11</v>
      </c>
      <c r="B22" s="26">
        <v>17172099</v>
      </c>
    </row>
    <row r="23" spans="1:2">
      <c r="A23" s="15" t="s">
        <v>12</v>
      </c>
      <c r="B23" s="16" t="s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25</v>
      </c>
    </row>
    <row r="3" spans="1:2">
      <c r="A3" s="15" t="s">
        <v>1</v>
      </c>
      <c r="B3" s="16">
        <v>324.904</v>
      </c>
    </row>
    <row r="4" spans="1:2">
      <c r="A4" s="13" t="s">
        <v>2</v>
      </c>
      <c r="B4" s="14">
        <v>34.848999999999997</v>
      </c>
    </row>
    <row r="5" spans="1:2">
      <c r="A5" s="15" t="s">
        <v>3</v>
      </c>
      <c r="B5" s="16">
        <v>10828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26</v>
      </c>
    </row>
    <row r="13" spans="1:2">
      <c r="A13" s="15" t="s">
        <v>9</v>
      </c>
      <c r="B13" s="16" t="s">
        <v>106</v>
      </c>
    </row>
    <row r="14" spans="1:2">
      <c r="A14" s="25" t="s">
        <v>10</v>
      </c>
      <c r="B14" s="26">
        <v>614582</v>
      </c>
    </row>
    <row r="15" spans="1:2">
      <c r="A15" s="15" t="s">
        <v>11</v>
      </c>
      <c r="B15" s="16">
        <v>2254177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26</v>
      </c>
    </row>
    <row r="20" spans="1:2">
      <c r="A20" s="25" t="s">
        <v>9</v>
      </c>
      <c r="B20" s="26" t="s">
        <v>106</v>
      </c>
    </row>
    <row r="21" spans="1:2">
      <c r="A21" s="15" t="s">
        <v>10</v>
      </c>
      <c r="B21" s="16">
        <v>614582</v>
      </c>
    </row>
    <row r="22" spans="1:2">
      <c r="A22" s="25" t="s">
        <v>11</v>
      </c>
      <c r="B22" s="26">
        <v>2254177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9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27</v>
      </c>
    </row>
    <row r="3" spans="1:2">
      <c r="A3" s="15" t="s">
        <v>1</v>
      </c>
      <c r="B3" s="16">
        <v>5.431</v>
      </c>
    </row>
    <row r="4" spans="1:2">
      <c r="A4" s="13" t="s">
        <v>2</v>
      </c>
      <c r="B4" s="14">
        <v>2.8050000000000002</v>
      </c>
    </row>
    <row r="5" spans="1:2">
      <c r="A5" s="15" t="s">
        <v>3</v>
      </c>
      <c r="B5" s="16">
        <v>10808</v>
      </c>
    </row>
    <row r="6" spans="1:2">
      <c r="A6" s="13" t="s">
        <v>4</v>
      </c>
      <c r="B6" s="14">
        <v>0.4</v>
      </c>
    </row>
    <row r="7" spans="1:2">
      <c r="A7" s="15" t="s">
        <v>5</v>
      </c>
      <c r="B7" s="16">
        <v>6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107</v>
      </c>
      <c r="B12" s="26" t="s">
        <v>108</v>
      </c>
    </row>
    <row r="14" spans="1:2">
      <c r="A14" s="24" t="s">
        <v>93</v>
      </c>
    </row>
    <row r="15" spans="1:2">
      <c r="A15" s="15" t="s">
        <v>8</v>
      </c>
      <c r="B15" s="16" t="s">
        <v>109</v>
      </c>
    </row>
    <row r="16" spans="1:2">
      <c r="A16" s="25" t="s">
        <v>9</v>
      </c>
      <c r="B16" s="26" t="s">
        <v>110</v>
      </c>
    </row>
    <row r="17" spans="1:2">
      <c r="A17" s="15" t="s">
        <v>10</v>
      </c>
      <c r="B17" s="16">
        <v>10580</v>
      </c>
    </row>
    <row r="18" spans="1:2">
      <c r="A18" s="25" t="s">
        <v>11</v>
      </c>
      <c r="B18" s="26">
        <v>32678</v>
      </c>
    </row>
    <row r="19" spans="1:2">
      <c r="A19" s="15" t="s">
        <v>12</v>
      </c>
      <c r="B19" s="16" t="s">
        <v>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29</v>
      </c>
    </row>
    <row r="3" spans="1:2">
      <c r="A3" s="15" t="s">
        <v>1</v>
      </c>
      <c r="B3" s="16">
        <v>234.38399999999999</v>
      </c>
    </row>
    <row r="4" spans="1:2">
      <c r="A4" s="13" t="s">
        <v>2</v>
      </c>
      <c r="B4" s="14">
        <v>26.234999999999999</v>
      </c>
    </row>
    <row r="5" spans="1:2">
      <c r="A5" s="15" t="s">
        <v>3</v>
      </c>
      <c r="B5" s="16">
        <v>10772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4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26</v>
      </c>
    </row>
    <row r="13" spans="1:2">
      <c r="A13" s="15" t="s">
        <v>9</v>
      </c>
      <c r="B13" s="16" t="s">
        <v>106</v>
      </c>
    </row>
    <row r="14" spans="1:2">
      <c r="A14" s="25" t="s">
        <v>10</v>
      </c>
      <c r="B14" s="26">
        <v>385566</v>
      </c>
    </row>
    <row r="15" spans="1:2">
      <c r="A15" s="15" t="s">
        <v>11</v>
      </c>
      <c r="B15" s="16">
        <v>1443777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26</v>
      </c>
    </row>
    <row r="20" spans="1:2">
      <c r="A20" s="25" t="s">
        <v>9</v>
      </c>
      <c r="B20" s="26" t="s">
        <v>106</v>
      </c>
    </row>
    <row r="21" spans="1:2">
      <c r="A21" s="15" t="s">
        <v>10</v>
      </c>
      <c r="B21" s="16">
        <v>385566</v>
      </c>
    </row>
    <row r="22" spans="1:2">
      <c r="A22" s="25" t="s">
        <v>11</v>
      </c>
      <c r="B22" s="26">
        <v>1443777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30</v>
      </c>
    </row>
    <row r="3" spans="1:2">
      <c r="A3" s="15" t="s">
        <v>1</v>
      </c>
      <c r="B3" s="16">
        <v>393.84500000000003</v>
      </c>
    </row>
    <row r="4" spans="1:2">
      <c r="A4" s="13" t="s">
        <v>2</v>
      </c>
      <c r="B4" s="14">
        <v>38.652000000000001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21</v>
      </c>
    </row>
    <row r="13" spans="1:2">
      <c r="A13" s="15" t="s">
        <v>9</v>
      </c>
      <c r="B13" s="16" t="s">
        <v>111</v>
      </c>
    </row>
    <row r="14" spans="1:2">
      <c r="A14" s="25" t="s">
        <v>10</v>
      </c>
      <c r="B14" s="26">
        <v>4972462</v>
      </c>
    </row>
    <row r="15" spans="1:2">
      <c r="A15" s="15" t="s">
        <v>11</v>
      </c>
      <c r="B15" s="16">
        <v>6011177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21</v>
      </c>
    </row>
    <row r="20" spans="1:2">
      <c r="A20" s="25" t="s">
        <v>9</v>
      </c>
      <c r="B20" s="26" t="s">
        <v>111</v>
      </c>
    </row>
    <row r="21" spans="1:2">
      <c r="A21" s="15" t="s">
        <v>10</v>
      </c>
      <c r="B21" s="16">
        <v>4972462</v>
      </c>
    </row>
    <row r="22" spans="1:2">
      <c r="A22" s="25" t="s">
        <v>11</v>
      </c>
      <c r="B22" s="26">
        <v>6011177</v>
      </c>
    </row>
    <row r="23" spans="1:2">
      <c r="A23" s="15" t="s">
        <v>12</v>
      </c>
      <c r="B23" s="16" t="s">
        <v>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31</v>
      </c>
    </row>
    <row r="3" spans="1:2">
      <c r="A3" s="15" t="s">
        <v>1</v>
      </c>
      <c r="B3" s="16">
        <v>62.878999999999998</v>
      </c>
    </row>
    <row r="4" spans="1:2">
      <c r="A4" s="13" t="s">
        <v>2</v>
      </c>
      <c r="B4" s="14">
        <v>8.6120000000000001</v>
      </c>
    </row>
    <row r="5" spans="1:2">
      <c r="A5" s="15" t="s">
        <v>3</v>
      </c>
      <c r="B5" s="16">
        <v>10820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21</v>
      </c>
    </row>
    <row r="13" spans="1:2">
      <c r="A13" s="15" t="s">
        <v>9</v>
      </c>
      <c r="B13" s="16" t="s">
        <v>113</v>
      </c>
    </row>
    <row r="14" spans="1:2">
      <c r="A14" s="25" t="s">
        <v>10</v>
      </c>
      <c r="B14" s="26">
        <v>1073888</v>
      </c>
    </row>
    <row r="15" spans="1:2">
      <c r="A15" s="15" t="s">
        <v>11</v>
      </c>
      <c r="B15" s="16">
        <v>1186765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21</v>
      </c>
    </row>
    <row r="20" spans="1:2">
      <c r="A20" s="25" t="s">
        <v>9</v>
      </c>
      <c r="B20" s="26" t="s">
        <v>113</v>
      </c>
    </row>
    <row r="21" spans="1:2">
      <c r="A21" s="15" t="s">
        <v>10</v>
      </c>
      <c r="B21" s="16">
        <v>1073888</v>
      </c>
    </row>
    <row r="22" spans="1:2">
      <c r="A22" s="25" t="s">
        <v>11</v>
      </c>
      <c r="B22" s="26">
        <v>1186765</v>
      </c>
    </row>
    <row r="23" spans="1:2">
      <c r="A23" s="15" t="s">
        <v>12</v>
      </c>
      <c r="B23" s="16" t="s">
        <v>114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32</v>
      </c>
    </row>
    <row r="3" spans="1:2">
      <c r="A3" s="15" t="s">
        <v>1</v>
      </c>
      <c r="B3" s="16">
        <v>76.010999999999996</v>
      </c>
    </row>
    <row r="4" spans="1:2">
      <c r="A4" s="13" t="s">
        <v>2</v>
      </c>
      <c r="B4" s="14">
        <v>9.4130000000000003</v>
      </c>
    </row>
    <row r="5" spans="1:2">
      <c r="A5" s="15" t="s">
        <v>3</v>
      </c>
      <c r="B5" s="16">
        <v>10772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6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21</v>
      </c>
    </row>
    <row r="13" spans="1:2">
      <c r="A13" s="15" t="s">
        <v>9</v>
      </c>
      <c r="B13" s="16" t="s">
        <v>115</v>
      </c>
    </row>
    <row r="14" spans="1:2">
      <c r="A14" s="25" t="s">
        <v>10</v>
      </c>
      <c r="B14" s="26">
        <v>1418333</v>
      </c>
    </row>
    <row r="15" spans="1:2">
      <c r="A15" s="15" t="s">
        <v>11</v>
      </c>
      <c r="B15" s="16">
        <v>1542623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21</v>
      </c>
    </row>
    <row r="20" spans="1:2">
      <c r="A20" s="25" t="s">
        <v>9</v>
      </c>
      <c r="B20" s="26" t="s">
        <v>115</v>
      </c>
    </row>
    <row r="21" spans="1:2">
      <c r="A21" s="15" t="s">
        <v>10</v>
      </c>
      <c r="B21" s="16">
        <v>1418333</v>
      </c>
    </row>
    <row r="22" spans="1:2">
      <c r="A22" s="25" t="s">
        <v>11</v>
      </c>
      <c r="B22" s="26">
        <v>1542623</v>
      </c>
    </row>
    <row r="23" spans="1:2">
      <c r="A23" s="15" t="s">
        <v>12</v>
      </c>
      <c r="B23" s="16" t="s">
        <v>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33</v>
      </c>
    </row>
    <row r="3" spans="1:2">
      <c r="A3" s="15" t="s">
        <v>1</v>
      </c>
      <c r="B3" s="16">
        <v>72.632999999999996</v>
      </c>
    </row>
    <row r="4" spans="1:2">
      <c r="A4" s="13" t="s">
        <v>2</v>
      </c>
      <c r="B4" s="14">
        <v>9.4120000000000008</v>
      </c>
    </row>
    <row r="5" spans="1:2">
      <c r="A5" s="15" t="s">
        <v>3</v>
      </c>
      <c r="B5" s="16">
        <v>10800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7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21</v>
      </c>
    </row>
    <row r="13" spans="1:2">
      <c r="A13" s="15" t="s">
        <v>9</v>
      </c>
      <c r="B13" s="16" t="s">
        <v>117</v>
      </c>
    </row>
    <row r="14" spans="1:2">
      <c r="A14" s="25" t="s">
        <v>10</v>
      </c>
      <c r="B14" s="26">
        <v>1247622</v>
      </c>
    </row>
    <row r="15" spans="1:2">
      <c r="A15" s="15" t="s">
        <v>11</v>
      </c>
      <c r="B15" s="16">
        <v>1351831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21</v>
      </c>
    </row>
    <row r="20" spans="1:2">
      <c r="A20" s="25" t="s">
        <v>9</v>
      </c>
      <c r="B20" s="26" t="s">
        <v>117</v>
      </c>
    </row>
    <row r="21" spans="1:2">
      <c r="A21" s="15" t="s">
        <v>10</v>
      </c>
      <c r="B21" s="16">
        <v>1247622</v>
      </c>
    </row>
    <row r="22" spans="1:2">
      <c r="A22" s="25" t="s">
        <v>11</v>
      </c>
      <c r="B22" s="26">
        <v>1351831</v>
      </c>
    </row>
    <row r="23" spans="1:2">
      <c r="A23" s="15" t="s">
        <v>12</v>
      </c>
      <c r="B23" s="16" t="s">
        <v>114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34</v>
      </c>
    </row>
    <row r="3" spans="1:2">
      <c r="A3" s="15" t="s">
        <v>1</v>
      </c>
      <c r="B3" s="16">
        <v>22.132999999999999</v>
      </c>
    </row>
    <row r="4" spans="1:2">
      <c r="A4" s="13" t="s">
        <v>2</v>
      </c>
      <c r="B4" s="14">
        <v>3.4049999999999998</v>
      </c>
    </row>
    <row r="5" spans="1:2">
      <c r="A5" s="15" t="s">
        <v>3</v>
      </c>
      <c r="B5" s="16">
        <v>10768</v>
      </c>
    </row>
    <row r="6" spans="1:2">
      <c r="A6" s="13" t="s">
        <v>4</v>
      </c>
      <c r="B6" s="14">
        <v>0.3</v>
      </c>
    </row>
    <row r="7" spans="1:2">
      <c r="A7" s="15" t="s">
        <v>5</v>
      </c>
      <c r="B7" s="16">
        <v>5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35</v>
      </c>
    </row>
    <row r="13" spans="1:2">
      <c r="A13" s="15" t="s">
        <v>9</v>
      </c>
      <c r="B13" s="16" t="s">
        <v>106</v>
      </c>
    </row>
    <row r="14" spans="1:2">
      <c r="A14" s="25" t="s">
        <v>10</v>
      </c>
      <c r="B14" s="26">
        <v>61621</v>
      </c>
    </row>
    <row r="15" spans="1:2">
      <c r="A15" s="15" t="s">
        <v>11</v>
      </c>
      <c r="B15" s="16">
        <v>64500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35</v>
      </c>
    </row>
    <row r="20" spans="1:2">
      <c r="A20" s="25" t="s">
        <v>9</v>
      </c>
      <c r="B20" s="26" t="s">
        <v>106</v>
      </c>
    </row>
    <row r="21" spans="1:2">
      <c r="A21" s="15" t="s">
        <v>10</v>
      </c>
      <c r="B21" s="16">
        <v>61621</v>
      </c>
    </row>
    <row r="22" spans="1:2">
      <c r="A22" s="25" t="s">
        <v>11</v>
      </c>
      <c r="B22" s="26">
        <v>64500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36</v>
      </c>
    </row>
    <row r="3" spans="1:2">
      <c r="A3" s="15" t="s">
        <v>1</v>
      </c>
      <c r="B3" s="16">
        <v>116.718</v>
      </c>
    </row>
    <row r="4" spans="1:2">
      <c r="A4" s="13" t="s">
        <v>2</v>
      </c>
      <c r="B4" s="14">
        <v>13.82</v>
      </c>
    </row>
    <row r="5" spans="1:2">
      <c r="A5" s="15" t="s">
        <v>3</v>
      </c>
      <c r="B5" s="16">
        <v>10808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4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26</v>
      </c>
    </row>
    <row r="13" spans="1:2">
      <c r="A13" s="15" t="s">
        <v>9</v>
      </c>
      <c r="B13" s="16" t="s">
        <v>118</v>
      </c>
    </row>
    <row r="14" spans="1:2">
      <c r="A14" s="25" t="s">
        <v>10</v>
      </c>
      <c r="B14" s="26">
        <v>1947737</v>
      </c>
    </row>
    <row r="15" spans="1:2">
      <c r="A15" s="15" t="s">
        <v>11</v>
      </c>
      <c r="B15" s="16">
        <v>7300044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26</v>
      </c>
    </row>
    <row r="20" spans="1:2">
      <c r="A20" s="25" t="s">
        <v>9</v>
      </c>
      <c r="B20" s="26" t="s">
        <v>118</v>
      </c>
    </row>
    <row r="21" spans="1:2">
      <c r="A21" s="15" t="s">
        <v>10</v>
      </c>
      <c r="B21" s="16">
        <v>1947737</v>
      </c>
    </row>
    <row r="22" spans="1:2">
      <c r="A22" s="25" t="s">
        <v>11</v>
      </c>
      <c r="B22" s="26">
        <v>7300044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37</v>
      </c>
    </row>
    <row r="3" spans="1:2">
      <c r="A3" s="15" t="s">
        <v>1</v>
      </c>
      <c r="B3" s="16">
        <v>255.078</v>
      </c>
    </row>
    <row r="4" spans="1:2">
      <c r="A4" s="13" t="s">
        <v>2</v>
      </c>
      <c r="B4" s="14">
        <v>30.643000000000001</v>
      </c>
    </row>
    <row r="5" spans="1:2">
      <c r="A5" s="15" t="s">
        <v>3</v>
      </c>
      <c r="B5" s="16">
        <v>10672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7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38</v>
      </c>
    </row>
    <row r="13" spans="1:2">
      <c r="A13" s="15" t="s">
        <v>9</v>
      </c>
      <c r="B13" s="16" t="s">
        <v>119</v>
      </c>
    </row>
    <row r="14" spans="1:2">
      <c r="A14" s="25" t="s">
        <v>10</v>
      </c>
      <c r="B14" s="26">
        <v>4261830</v>
      </c>
    </row>
    <row r="15" spans="1:2">
      <c r="A15" s="15" t="s">
        <v>11</v>
      </c>
      <c r="B15" s="16">
        <v>4322642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38</v>
      </c>
    </row>
    <row r="20" spans="1:2">
      <c r="A20" s="25" t="s">
        <v>9</v>
      </c>
      <c r="B20" s="26" t="s">
        <v>119</v>
      </c>
    </row>
    <row r="21" spans="1:2">
      <c r="A21" s="15" t="s">
        <v>10</v>
      </c>
      <c r="B21" s="16">
        <v>4261830</v>
      </c>
    </row>
    <row r="22" spans="1:2">
      <c r="A22" s="25" t="s">
        <v>11</v>
      </c>
      <c r="B22" s="26">
        <v>4322642</v>
      </c>
    </row>
    <row r="23" spans="1:2">
      <c r="A23" s="15" t="s">
        <v>12</v>
      </c>
      <c r="B23" s="16" t="s">
        <v>120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39</v>
      </c>
    </row>
    <row r="3" spans="1:2">
      <c r="A3" s="15" t="s">
        <v>1</v>
      </c>
      <c r="B3" s="16">
        <v>208.17599999999999</v>
      </c>
    </row>
    <row r="4" spans="1:2">
      <c r="A4" s="13" t="s">
        <v>2</v>
      </c>
      <c r="B4" s="14">
        <v>25.637</v>
      </c>
    </row>
    <row r="5" spans="1:2">
      <c r="A5" s="15" t="s">
        <v>3</v>
      </c>
      <c r="B5" s="16">
        <v>10828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40</v>
      </c>
    </row>
    <row r="13" spans="1:2">
      <c r="A13" s="15" t="s">
        <v>9</v>
      </c>
      <c r="B13" s="16" t="s">
        <v>121</v>
      </c>
    </row>
    <row r="14" spans="1:2">
      <c r="A14" s="25" t="s">
        <v>10</v>
      </c>
      <c r="B14" s="26">
        <v>1927187</v>
      </c>
    </row>
    <row r="15" spans="1:2">
      <c r="A15" s="15" t="s">
        <v>11</v>
      </c>
      <c r="B15" s="16">
        <v>2387178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40</v>
      </c>
    </row>
    <row r="20" spans="1:2">
      <c r="A20" s="25" t="s">
        <v>9</v>
      </c>
      <c r="B20" s="26" t="s">
        <v>121</v>
      </c>
    </row>
    <row r="21" spans="1:2">
      <c r="A21" s="15" t="s">
        <v>10</v>
      </c>
      <c r="B21" s="16">
        <v>1927187</v>
      </c>
    </row>
    <row r="22" spans="1:2">
      <c r="A22" s="25" t="s">
        <v>11</v>
      </c>
      <c r="B22" s="26">
        <v>2387178</v>
      </c>
    </row>
    <row r="23" spans="1:2">
      <c r="A23" s="15" t="s">
        <v>12</v>
      </c>
      <c r="B23" s="16" t="s">
        <v>122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41</v>
      </c>
    </row>
    <row r="3" spans="1:2">
      <c r="A3" s="15" t="s">
        <v>1</v>
      </c>
      <c r="B3" s="16">
        <v>313.459</v>
      </c>
    </row>
    <row r="4" spans="1:2">
      <c r="A4" s="13" t="s">
        <v>2</v>
      </c>
      <c r="B4" s="14">
        <v>38.454000000000001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7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40</v>
      </c>
    </row>
    <row r="13" spans="1:2">
      <c r="A13" s="15" t="s">
        <v>9</v>
      </c>
      <c r="B13" s="16" t="s">
        <v>123</v>
      </c>
    </row>
    <row r="14" spans="1:2">
      <c r="A14" s="25" t="s">
        <v>10</v>
      </c>
      <c r="B14" s="26">
        <v>2764418</v>
      </c>
    </row>
    <row r="15" spans="1:2">
      <c r="A15" s="15" t="s">
        <v>11</v>
      </c>
      <c r="B15" s="16">
        <v>4441648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40</v>
      </c>
    </row>
    <row r="20" spans="1:2">
      <c r="A20" s="25" t="s">
        <v>9</v>
      </c>
      <c r="B20" s="26" t="s">
        <v>123</v>
      </c>
    </row>
    <row r="21" spans="1:2">
      <c r="A21" s="15" t="s">
        <v>10</v>
      </c>
      <c r="B21" s="16">
        <v>2764418</v>
      </c>
    </row>
    <row r="22" spans="1:2">
      <c r="A22" s="25" t="s">
        <v>11</v>
      </c>
      <c r="B22" s="26">
        <v>4441648</v>
      </c>
    </row>
    <row r="23" spans="1:2">
      <c r="A23" s="15" t="s">
        <v>12</v>
      </c>
      <c r="B23" s="16" t="s">
        <v>124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9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42</v>
      </c>
    </row>
    <row r="3" spans="1:2">
      <c r="A3" s="15" t="s">
        <v>1</v>
      </c>
      <c r="B3" s="16">
        <v>43.933</v>
      </c>
    </row>
    <row r="4" spans="1:2">
      <c r="A4" s="13" t="s">
        <v>2</v>
      </c>
      <c r="B4" s="14">
        <v>4.407</v>
      </c>
    </row>
    <row r="5" spans="1:2">
      <c r="A5" s="15" t="s">
        <v>3</v>
      </c>
      <c r="B5" s="16">
        <v>10828</v>
      </c>
    </row>
    <row r="6" spans="1:2">
      <c r="A6" s="13" t="s">
        <v>4</v>
      </c>
      <c r="B6" s="14">
        <v>0.2</v>
      </c>
    </row>
    <row r="7" spans="1:2">
      <c r="A7" s="15" t="s">
        <v>5</v>
      </c>
      <c r="B7" s="16">
        <v>8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107</v>
      </c>
      <c r="B12" s="26" t="s">
        <v>108</v>
      </c>
    </row>
    <row r="14" spans="1:2">
      <c r="A14" s="24" t="s">
        <v>93</v>
      </c>
    </row>
    <row r="15" spans="1:2">
      <c r="A15" s="15" t="s">
        <v>8</v>
      </c>
      <c r="B15" s="16" t="s">
        <v>125</v>
      </c>
    </row>
    <row r="16" spans="1:2">
      <c r="A16" s="25" t="s">
        <v>9</v>
      </c>
      <c r="B16" s="26" t="s">
        <v>126</v>
      </c>
    </row>
    <row r="17" spans="1:2">
      <c r="A17" s="15" t="s">
        <v>10</v>
      </c>
      <c r="B17" s="16">
        <v>9604</v>
      </c>
    </row>
    <row r="18" spans="1:2">
      <c r="A18" s="25" t="s">
        <v>11</v>
      </c>
      <c r="B18" s="26">
        <v>10641</v>
      </c>
    </row>
    <row r="19" spans="1:2">
      <c r="A19" s="15" t="s">
        <v>12</v>
      </c>
      <c r="B19" s="16" t="s">
        <v>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44</v>
      </c>
    </row>
    <row r="3" spans="1:2">
      <c r="A3" s="15" t="s">
        <v>1</v>
      </c>
      <c r="B3" s="16">
        <v>286.84899999999999</v>
      </c>
    </row>
    <row r="4" spans="1:2">
      <c r="A4" s="13" t="s">
        <v>2</v>
      </c>
      <c r="B4" s="14">
        <v>35.847999999999999</v>
      </c>
    </row>
    <row r="5" spans="1:2">
      <c r="A5" s="15" t="s">
        <v>3</v>
      </c>
      <c r="B5" s="16">
        <v>10832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45</v>
      </c>
    </row>
    <row r="13" spans="1:2">
      <c r="A13" s="15" t="s">
        <v>9</v>
      </c>
      <c r="B13" s="16" t="s">
        <v>127</v>
      </c>
    </row>
    <row r="14" spans="1:2">
      <c r="A14" s="25" t="s">
        <v>10</v>
      </c>
      <c r="B14" s="26">
        <v>2080809</v>
      </c>
    </row>
    <row r="15" spans="1:2">
      <c r="A15" s="15" t="s">
        <v>11</v>
      </c>
      <c r="B15" s="16">
        <v>7685661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45</v>
      </c>
    </row>
    <row r="20" spans="1:2">
      <c r="A20" s="25" t="s">
        <v>9</v>
      </c>
      <c r="B20" s="26" t="s">
        <v>127</v>
      </c>
    </row>
    <row r="21" spans="1:2">
      <c r="A21" s="15" t="s">
        <v>10</v>
      </c>
      <c r="B21" s="16">
        <v>2080809</v>
      </c>
    </row>
    <row r="22" spans="1:2">
      <c r="A22" s="25" t="s">
        <v>11</v>
      </c>
      <c r="B22" s="26">
        <v>7685661</v>
      </c>
    </row>
    <row r="23" spans="1:2">
      <c r="A23" s="15" t="s">
        <v>12</v>
      </c>
      <c r="B23" s="16" t="s">
        <v>128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46</v>
      </c>
    </row>
    <row r="3" spans="1:2">
      <c r="A3" s="15" t="s">
        <v>1</v>
      </c>
      <c r="B3" s="16">
        <v>225.80199999999999</v>
      </c>
    </row>
    <row r="4" spans="1:2">
      <c r="A4" s="13" t="s">
        <v>2</v>
      </c>
      <c r="B4" s="14">
        <v>25.835999999999999</v>
      </c>
    </row>
    <row r="5" spans="1:2">
      <c r="A5" s="15" t="s">
        <v>3</v>
      </c>
      <c r="B5" s="16">
        <v>10820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23</v>
      </c>
    </row>
    <row r="13" spans="1:2">
      <c r="A13" s="15" t="s">
        <v>9</v>
      </c>
      <c r="B13" s="16" t="s">
        <v>129</v>
      </c>
    </row>
    <row r="14" spans="1:2">
      <c r="A14" s="25" t="s">
        <v>10</v>
      </c>
      <c r="B14" s="26">
        <v>2201753</v>
      </c>
    </row>
    <row r="15" spans="1:2">
      <c r="A15" s="15" t="s">
        <v>11</v>
      </c>
      <c r="B15" s="16">
        <v>2243301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23</v>
      </c>
    </row>
    <row r="20" spans="1:2">
      <c r="A20" s="25" t="s">
        <v>9</v>
      </c>
      <c r="B20" s="26" t="s">
        <v>129</v>
      </c>
    </row>
    <row r="21" spans="1:2">
      <c r="A21" s="15" t="s">
        <v>10</v>
      </c>
      <c r="B21" s="16">
        <v>2201753</v>
      </c>
    </row>
    <row r="22" spans="1:2">
      <c r="A22" s="25" t="s">
        <v>11</v>
      </c>
      <c r="B22" s="26">
        <v>2243301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47</v>
      </c>
    </row>
    <row r="3" spans="1:2">
      <c r="A3" s="15" t="s">
        <v>1</v>
      </c>
      <c r="B3" s="16">
        <v>439.17599999999999</v>
      </c>
    </row>
    <row r="4" spans="1:2">
      <c r="A4" s="13" t="s">
        <v>2</v>
      </c>
      <c r="B4" s="14">
        <v>49.470999999999997</v>
      </c>
    </row>
    <row r="5" spans="1:2">
      <c r="A5" s="15" t="s">
        <v>3</v>
      </c>
      <c r="B5" s="16">
        <v>10796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23</v>
      </c>
    </row>
    <row r="13" spans="1:2">
      <c r="A13" s="15" t="s">
        <v>9</v>
      </c>
      <c r="B13" s="16" t="s">
        <v>130</v>
      </c>
    </row>
    <row r="14" spans="1:2">
      <c r="A14" s="25" t="s">
        <v>10</v>
      </c>
      <c r="B14" s="26">
        <v>7159609</v>
      </c>
    </row>
    <row r="15" spans="1:2">
      <c r="A15" s="15" t="s">
        <v>11</v>
      </c>
      <c r="B15" s="16">
        <v>8575119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23</v>
      </c>
    </row>
    <row r="20" spans="1:2">
      <c r="A20" s="25" t="s">
        <v>9</v>
      </c>
      <c r="B20" s="26" t="s">
        <v>130</v>
      </c>
    </row>
    <row r="21" spans="1:2">
      <c r="A21" s="15" t="s">
        <v>10</v>
      </c>
      <c r="B21" s="16">
        <v>7159609</v>
      </c>
    </row>
    <row r="22" spans="1:2">
      <c r="A22" s="25" t="s">
        <v>11</v>
      </c>
      <c r="B22" s="26">
        <v>8575119</v>
      </c>
    </row>
    <row r="23" spans="1:2">
      <c r="A23" s="15" t="s">
        <v>12</v>
      </c>
      <c r="B23" s="16" t="s">
        <v>131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48</v>
      </c>
    </row>
    <row r="3" spans="1:2">
      <c r="A3" s="15" t="s">
        <v>1</v>
      </c>
      <c r="B3" s="16">
        <v>5.258</v>
      </c>
    </row>
    <row r="4" spans="1:2">
      <c r="A4" s="13" t="s">
        <v>2</v>
      </c>
      <c r="B4" s="14">
        <v>2.8039999999999998</v>
      </c>
    </row>
    <row r="5" spans="1:2">
      <c r="A5" s="15" t="s">
        <v>3</v>
      </c>
      <c r="B5" s="16">
        <v>10832</v>
      </c>
    </row>
    <row r="6" spans="1:2">
      <c r="A6" s="13" t="s">
        <v>4</v>
      </c>
      <c r="B6" s="14">
        <v>0.4</v>
      </c>
    </row>
    <row r="7" spans="1:2">
      <c r="A7" s="15" t="s">
        <v>5</v>
      </c>
      <c r="B7" s="16">
        <v>6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49</v>
      </c>
    </row>
    <row r="13" spans="1:2">
      <c r="A13" s="15" t="s">
        <v>9</v>
      </c>
      <c r="B13" s="16" t="s">
        <v>132</v>
      </c>
    </row>
    <row r="14" spans="1:2">
      <c r="A14" s="25" t="s">
        <v>10</v>
      </c>
      <c r="B14" s="26">
        <v>27993</v>
      </c>
    </row>
    <row r="15" spans="1:2">
      <c r="A15" s="15" t="s">
        <v>11</v>
      </c>
      <c r="B15" s="16">
        <v>125778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49</v>
      </c>
    </row>
    <row r="20" spans="1:2">
      <c r="A20" s="25" t="s">
        <v>9</v>
      </c>
      <c r="B20" s="26" t="s">
        <v>132</v>
      </c>
    </row>
    <row r="21" spans="1:2">
      <c r="A21" s="15" t="s">
        <v>10</v>
      </c>
      <c r="B21" s="16">
        <v>27993</v>
      </c>
    </row>
    <row r="22" spans="1:2">
      <c r="A22" s="25" t="s">
        <v>11</v>
      </c>
      <c r="B22" s="26">
        <v>125778</v>
      </c>
    </row>
    <row r="23" spans="1:2">
      <c r="A23" s="15" t="s">
        <v>12</v>
      </c>
      <c r="B23" s="16" t="s">
        <v>133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50</v>
      </c>
    </row>
    <row r="3" spans="1:2">
      <c r="A3" s="15" t="s">
        <v>1</v>
      </c>
      <c r="B3" s="16">
        <v>192.642</v>
      </c>
    </row>
    <row r="4" spans="1:2">
      <c r="A4" s="13" t="s">
        <v>2</v>
      </c>
      <c r="B4" s="14">
        <v>20.831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21</v>
      </c>
    </row>
    <row r="13" spans="1:2">
      <c r="A13" s="15" t="s">
        <v>9</v>
      </c>
      <c r="B13" s="16" t="s">
        <v>134</v>
      </c>
    </row>
    <row r="14" spans="1:2">
      <c r="A14" s="25" t="s">
        <v>10</v>
      </c>
      <c r="B14" s="26">
        <v>1990721</v>
      </c>
    </row>
    <row r="15" spans="1:2">
      <c r="A15" s="15" t="s">
        <v>11</v>
      </c>
      <c r="B15" s="16">
        <v>2141549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21</v>
      </c>
    </row>
    <row r="20" spans="1:2">
      <c r="A20" s="25" t="s">
        <v>9</v>
      </c>
      <c r="B20" s="26" t="s">
        <v>134</v>
      </c>
    </row>
    <row r="21" spans="1:2">
      <c r="A21" s="15" t="s">
        <v>10</v>
      </c>
      <c r="B21" s="16">
        <v>1990721</v>
      </c>
    </row>
    <row r="22" spans="1:2">
      <c r="A22" s="25" t="s">
        <v>11</v>
      </c>
      <c r="B22" s="26">
        <v>2141549</v>
      </c>
    </row>
    <row r="23" spans="1:2">
      <c r="A23" s="15" t="s">
        <v>12</v>
      </c>
      <c r="B23" s="16" t="s">
        <v>124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51</v>
      </c>
    </row>
    <row r="3" spans="1:2">
      <c r="A3" s="15" t="s">
        <v>1</v>
      </c>
      <c r="B3" s="16">
        <v>262.82</v>
      </c>
    </row>
    <row r="4" spans="1:2">
      <c r="A4" s="13" t="s">
        <v>2</v>
      </c>
      <c r="B4" s="14">
        <v>29.239000000000001</v>
      </c>
    </row>
    <row r="5" spans="1:2">
      <c r="A5" s="15" t="s">
        <v>3</v>
      </c>
      <c r="B5" s="16">
        <v>10828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4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23</v>
      </c>
    </row>
    <row r="13" spans="1:2">
      <c r="A13" s="15" t="s">
        <v>9</v>
      </c>
      <c r="B13" s="16" t="s">
        <v>135</v>
      </c>
    </row>
    <row r="14" spans="1:2">
      <c r="A14" s="25" t="s">
        <v>10</v>
      </c>
      <c r="B14" s="26">
        <v>2715807</v>
      </c>
    </row>
    <row r="15" spans="1:2">
      <c r="A15" s="15" t="s">
        <v>11</v>
      </c>
      <c r="B15" s="16">
        <v>2765948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23</v>
      </c>
    </row>
    <row r="20" spans="1:2">
      <c r="A20" s="25" t="s">
        <v>9</v>
      </c>
      <c r="B20" s="26" t="s">
        <v>135</v>
      </c>
    </row>
    <row r="21" spans="1:2">
      <c r="A21" s="15" t="s">
        <v>10</v>
      </c>
      <c r="B21" s="16">
        <v>2715807</v>
      </c>
    </row>
    <row r="22" spans="1:2">
      <c r="A22" s="25" t="s">
        <v>11</v>
      </c>
      <c r="B22" s="26">
        <v>2765948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9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52</v>
      </c>
    </row>
    <row r="3" spans="1:2">
      <c r="A3" s="15" t="s">
        <v>1</v>
      </c>
      <c r="B3" s="16">
        <v>4.6070000000000002</v>
      </c>
    </row>
    <row r="4" spans="1:2">
      <c r="A4" s="13" t="s">
        <v>2</v>
      </c>
      <c r="B4" s="14">
        <v>2.605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0.4</v>
      </c>
    </row>
    <row r="7" spans="1:2">
      <c r="A7" s="15" t="s">
        <v>5</v>
      </c>
      <c r="B7" s="16">
        <v>4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107</v>
      </c>
      <c r="B12" s="26" t="s">
        <v>108</v>
      </c>
    </row>
    <row r="14" spans="1:2">
      <c r="A14" s="24" t="s">
        <v>93</v>
      </c>
    </row>
    <row r="15" spans="1:2">
      <c r="A15" s="15" t="s">
        <v>8</v>
      </c>
      <c r="B15" s="16" t="s">
        <v>136</v>
      </c>
    </row>
    <row r="16" spans="1:2">
      <c r="A16" s="25" t="s">
        <v>9</v>
      </c>
      <c r="B16" s="26" t="s">
        <v>137</v>
      </c>
    </row>
    <row r="17" spans="1:2">
      <c r="A17" s="15" t="s">
        <v>10</v>
      </c>
      <c r="B17" s="16">
        <v>5956</v>
      </c>
    </row>
    <row r="18" spans="1:2">
      <c r="A18" s="25" t="s">
        <v>11</v>
      </c>
      <c r="B18" s="26">
        <v>16340</v>
      </c>
    </row>
    <row r="19" spans="1:2">
      <c r="A19" s="15" t="s">
        <v>12</v>
      </c>
      <c r="B19" s="16" t="s">
        <v>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54</v>
      </c>
    </row>
    <row r="3" spans="1:2">
      <c r="A3" s="15" t="s">
        <v>1</v>
      </c>
      <c r="B3" s="16">
        <v>88.539000000000001</v>
      </c>
    </row>
    <row r="4" spans="1:2">
      <c r="A4" s="13" t="s">
        <v>2</v>
      </c>
      <c r="B4" s="14">
        <v>12.417999999999999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55</v>
      </c>
    </row>
    <row r="13" spans="1:2">
      <c r="A13" s="15" t="s">
        <v>9</v>
      </c>
      <c r="B13" s="16" t="s">
        <v>138</v>
      </c>
    </row>
    <row r="14" spans="1:2">
      <c r="A14" s="25" t="s">
        <v>10</v>
      </c>
      <c r="B14" s="26">
        <v>1089424</v>
      </c>
    </row>
    <row r="15" spans="1:2">
      <c r="A15" s="15" t="s">
        <v>11</v>
      </c>
      <c r="B15" s="16">
        <v>2827350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55</v>
      </c>
    </row>
    <row r="20" spans="1:2">
      <c r="A20" s="25" t="s">
        <v>9</v>
      </c>
      <c r="B20" s="26" t="s">
        <v>138</v>
      </c>
    </row>
    <row r="21" spans="1:2">
      <c r="A21" s="15" t="s">
        <v>10</v>
      </c>
      <c r="B21" s="16">
        <v>1089424</v>
      </c>
    </row>
    <row r="22" spans="1:2">
      <c r="A22" s="25" t="s">
        <v>11</v>
      </c>
      <c r="B22" s="26">
        <v>2827350</v>
      </c>
    </row>
    <row r="23" spans="1:2">
      <c r="A23" s="15" t="s">
        <v>12</v>
      </c>
      <c r="B23" s="16" t="s">
        <v>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56</v>
      </c>
    </row>
    <row r="3" spans="1:2">
      <c r="A3" s="15" t="s">
        <v>1</v>
      </c>
      <c r="B3" s="16">
        <v>102.389</v>
      </c>
    </row>
    <row r="4" spans="1:2">
      <c r="A4" s="13" t="s">
        <v>2</v>
      </c>
      <c r="B4" s="14">
        <v>14.019</v>
      </c>
    </row>
    <row r="5" spans="1:2">
      <c r="A5" s="15" t="s">
        <v>3</v>
      </c>
      <c r="B5" s="16">
        <v>10772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38</v>
      </c>
    </row>
    <row r="13" spans="1:2">
      <c r="A13" s="15" t="s">
        <v>9</v>
      </c>
      <c r="B13" s="16" t="s">
        <v>140</v>
      </c>
    </row>
    <row r="14" spans="1:2">
      <c r="A14" s="25" t="s">
        <v>10</v>
      </c>
      <c r="B14" s="26">
        <v>1706583</v>
      </c>
    </row>
    <row r="15" spans="1:2">
      <c r="A15" s="15" t="s">
        <v>11</v>
      </c>
      <c r="B15" s="16">
        <v>1764288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38</v>
      </c>
    </row>
    <row r="20" spans="1:2">
      <c r="A20" s="25" t="s">
        <v>9</v>
      </c>
      <c r="B20" s="26" t="s">
        <v>140</v>
      </c>
    </row>
    <row r="21" spans="1:2">
      <c r="A21" s="15" t="s">
        <v>10</v>
      </c>
      <c r="B21" s="16">
        <v>1706583</v>
      </c>
    </row>
    <row r="22" spans="1:2">
      <c r="A22" s="25" t="s">
        <v>11</v>
      </c>
      <c r="B22" s="26">
        <v>1764288</v>
      </c>
    </row>
    <row r="23" spans="1:2">
      <c r="A23" s="15" t="s">
        <v>12</v>
      </c>
      <c r="B23" s="16" t="s">
        <v>141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57</v>
      </c>
    </row>
    <row r="3" spans="1:2">
      <c r="A3" s="15" t="s">
        <v>1</v>
      </c>
      <c r="B3" s="16">
        <v>98.852999999999994</v>
      </c>
    </row>
    <row r="4" spans="1:2">
      <c r="A4" s="13" t="s">
        <v>2</v>
      </c>
      <c r="B4" s="14">
        <v>13.618</v>
      </c>
    </row>
    <row r="5" spans="1:2">
      <c r="A5" s="15" t="s">
        <v>3</v>
      </c>
      <c r="B5" s="16">
        <v>10820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38</v>
      </c>
    </row>
    <row r="13" spans="1:2">
      <c r="A13" s="15" t="s">
        <v>9</v>
      </c>
      <c r="B13" s="16" t="s">
        <v>142</v>
      </c>
    </row>
    <row r="14" spans="1:2">
      <c r="A14" s="25" t="s">
        <v>10</v>
      </c>
      <c r="B14" s="26">
        <v>1629613</v>
      </c>
    </row>
    <row r="15" spans="1:2">
      <c r="A15" s="15" t="s">
        <v>11</v>
      </c>
      <c r="B15" s="16">
        <v>1816765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38</v>
      </c>
    </row>
    <row r="20" spans="1:2">
      <c r="A20" s="25" t="s">
        <v>9</v>
      </c>
      <c r="B20" s="26" t="s">
        <v>142</v>
      </c>
    </row>
    <row r="21" spans="1:2">
      <c r="A21" s="15" t="s">
        <v>10</v>
      </c>
      <c r="B21" s="16">
        <v>1629613</v>
      </c>
    </row>
    <row r="22" spans="1:2">
      <c r="A22" s="25" t="s">
        <v>11</v>
      </c>
      <c r="B22" s="26">
        <v>1816765</v>
      </c>
    </row>
    <row r="23" spans="1:2">
      <c r="A23" s="15" t="s">
        <v>12</v>
      </c>
      <c r="B23" s="16" t="s">
        <v>143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58</v>
      </c>
    </row>
    <row r="3" spans="1:2">
      <c r="A3" s="15" t="s">
        <v>1</v>
      </c>
      <c r="B3" s="16">
        <v>203.64400000000001</v>
      </c>
    </row>
    <row r="4" spans="1:2">
      <c r="A4" s="13" t="s">
        <v>2</v>
      </c>
      <c r="B4" s="14">
        <v>23.632999999999999</v>
      </c>
    </row>
    <row r="5" spans="1:2">
      <c r="A5" s="15" t="s">
        <v>3</v>
      </c>
      <c r="B5" s="16">
        <v>10820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23</v>
      </c>
    </row>
    <row r="13" spans="1:2">
      <c r="A13" s="15" t="s">
        <v>9</v>
      </c>
      <c r="B13" s="16" t="s">
        <v>144</v>
      </c>
    </row>
    <row r="14" spans="1:2">
      <c r="A14" s="25" t="s">
        <v>10</v>
      </c>
      <c r="B14" s="26">
        <v>2247451</v>
      </c>
    </row>
    <row r="15" spans="1:2">
      <c r="A15" s="15" t="s">
        <v>11</v>
      </c>
      <c r="B15" s="16">
        <v>2302189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23</v>
      </c>
    </row>
    <row r="20" spans="1:2">
      <c r="A20" s="25" t="s">
        <v>9</v>
      </c>
      <c r="B20" s="26" t="s">
        <v>144</v>
      </c>
    </row>
    <row r="21" spans="1:2">
      <c r="A21" s="15" t="s">
        <v>10</v>
      </c>
      <c r="B21" s="16">
        <v>2247451</v>
      </c>
    </row>
    <row r="22" spans="1:2">
      <c r="A22" s="25" t="s">
        <v>11</v>
      </c>
      <c r="B22" s="26">
        <v>2302189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59</v>
      </c>
    </row>
    <row r="3" spans="1:2">
      <c r="A3" s="15" t="s">
        <v>1</v>
      </c>
      <c r="B3" s="16">
        <v>62.295999999999999</v>
      </c>
    </row>
    <row r="4" spans="1:2">
      <c r="A4" s="13" t="s">
        <v>2</v>
      </c>
      <c r="B4" s="14">
        <v>9.4130000000000003</v>
      </c>
    </row>
    <row r="5" spans="1:2">
      <c r="A5" s="15" t="s">
        <v>3</v>
      </c>
      <c r="B5" s="16">
        <v>10808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55</v>
      </c>
    </row>
    <row r="13" spans="1:2">
      <c r="A13" s="15" t="s">
        <v>9</v>
      </c>
      <c r="B13" s="16" t="s">
        <v>145</v>
      </c>
    </row>
    <row r="14" spans="1:2">
      <c r="A14" s="25" t="s">
        <v>10</v>
      </c>
      <c r="B14" s="26">
        <v>698317</v>
      </c>
    </row>
    <row r="15" spans="1:2">
      <c r="A15" s="15" t="s">
        <v>11</v>
      </c>
      <c r="B15" s="16">
        <v>2075237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55</v>
      </c>
    </row>
    <row r="20" spans="1:2">
      <c r="A20" s="25" t="s">
        <v>9</v>
      </c>
      <c r="B20" s="26" t="s">
        <v>145</v>
      </c>
    </row>
    <row r="21" spans="1:2">
      <c r="A21" s="15" t="s">
        <v>10</v>
      </c>
      <c r="B21" s="16">
        <v>698317</v>
      </c>
    </row>
    <row r="22" spans="1:2">
      <c r="A22" s="25" t="s">
        <v>11</v>
      </c>
      <c r="B22" s="26">
        <v>2075237</v>
      </c>
    </row>
    <row r="23" spans="1:2">
      <c r="A23" s="15" t="s">
        <v>12</v>
      </c>
      <c r="B23" s="16" t="s">
        <v>146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60</v>
      </c>
    </row>
    <row r="3" spans="1:2">
      <c r="A3" s="15" t="s">
        <v>1</v>
      </c>
      <c r="B3" s="16">
        <v>130.369</v>
      </c>
    </row>
    <row r="4" spans="1:2">
      <c r="A4" s="13" t="s">
        <v>2</v>
      </c>
      <c r="B4" s="14">
        <v>17.425000000000001</v>
      </c>
    </row>
    <row r="5" spans="1:2">
      <c r="A5" s="15" t="s">
        <v>3</v>
      </c>
      <c r="B5" s="16">
        <v>10832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38</v>
      </c>
    </row>
    <row r="13" spans="1:2">
      <c r="A13" s="15" t="s">
        <v>9</v>
      </c>
      <c r="B13" s="16" t="s">
        <v>103</v>
      </c>
    </row>
    <row r="14" spans="1:2">
      <c r="A14" s="25" t="s">
        <v>10</v>
      </c>
      <c r="B14" s="26">
        <v>2193124</v>
      </c>
    </row>
    <row r="15" spans="1:2">
      <c r="A15" s="15" t="s">
        <v>11</v>
      </c>
      <c r="B15" s="16">
        <v>2209696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38</v>
      </c>
    </row>
    <row r="20" spans="1:2">
      <c r="A20" s="25" t="s">
        <v>9</v>
      </c>
      <c r="B20" s="26" t="s">
        <v>103</v>
      </c>
    </row>
    <row r="21" spans="1:2">
      <c r="A21" s="15" t="s">
        <v>10</v>
      </c>
      <c r="B21" s="16">
        <v>2193124</v>
      </c>
    </row>
    <row r="22" spans="1:2">
      <c r="A22" s="25" t="s">
        <v>11</v>
      </c>
      <c r="B22" s="26">
        <v>2209696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61</v>
      </c>
    </row>
    <row r="3" spans="1:2">
      <c r="A3" s="15" t="s">
        <v>1</v>
      </c>
      <c r="B3" s="16">
        <v>105.77800000000001</v>
      </c>
    </row>
    <row r="4" spans="1:2">
      <c r="A4" s="13" t="s">
        <v>2</v>
      </c>
      <c r="B4" s="14">
        <v>14.22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45</v>
      </c>
    </row>
    <row r="13" spans="1:2">
      <c r="A13" s="15" t="s">
        <v>9</v>
      </c>
      <c r="B13" s="16" t="s">
        <v>147</v>
      </c>
    </row>
    <row r="14" spans="1:2">
      <c r="A14" s="25" t="s">
        <v>10</v>
      </c>
      <c r="B14" s="26">
        <v>780978</v>
      </c>
    </row>
    <row r="15" spans="1:2">
      <c r="A15" s="15" t="s">
        <v>11</v>
      </c>
      <c r="B15" s="16">
        <v>3017034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45</v>
      </c>
    </row>
    <row r="20" spans="1:2">
      <c r="A20" s="25" t="s">
        <v>9</v>
      </c>
      <c r="B20" s="26" t="s">
        <v>147</v>
      </c>
    </row>
    <row r="21" spans="1:2">
      <c r="A21" s="15" t="s">
        <v>10</v>
      </c>
      <c r="B21" s="16">
        <v>780978</v>
      </c>
    </row>
    <row r="22" spans="1:2">
      <c r="A22" s="25" t="s">
        <v>11</v>
      </c>
      <c r="B22" s="26">
        <v>3017034</v>
      </c>
    </row>
    <row r="23" spans="1:2">
      <c r="A23" s="15" t="s">
        <v>12</v>
      </c>
      <c r="B23" s="16" t="s">
        <v>128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62</v>
      </c>
    </row>
    <row r="3" spans="1:2">
      <c r="A3" s="15" t="s">
        <v>1</v>
      </c>
      <c r="B3" s="16">
        <v>88.85</v>
      </c>
    </row>
    <row r="4" spans="1:2">
      <c r="A4" s="13" t="s">
        <v>2</v>
      </c>
      <c r="B4" s="14">
        <v>12.018000000000001</v>
      </c>
    </row>
    <row r="5" spans="1:2">
      <c r="A5" s="15" t="s">
        <v>3</v>
      </c>
      <c r="B5" s="16">
        <v>10800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15</v>
      </c>
    </row>
    <row r="13" spans="1:2">
      <c r="A13" s="15" t="s">
        <v>9</v>
      </c>
      <c r="B13" s="16" t="s">
        <v>148</v>
      </c>
    </row>
    <row r="14" spans="1:2">
      <c r="A14" s="25" t="s">
        <v>10</v>
      </c>
      <c r="B14" s="26">
        <v>885064</v>
      </c>
    </row>
    <row r="15" spans="1:2">
      <c r="A15" s="15" t="s">
        <v>11</v>
      </c>
      <c r="B15" s="16">
        <v>1100660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15</v>
      </c>
    </row>
    <row r="20" spans="1:2">
      <c r="A20" s="25" t="s">
        <v>9</v>
      </c>
      <c r="B20" s="26" t="s">
        <v>148</v>
      </c>
    </row>
    <row r="21" spans="1:2">
      <c r="A21" s="15" t="s">
        <v>10</v>
      </c>
      <c r="B21" s="16">
        <v>885064</v>
      </c>
    </row>
    <row r="22" spans="1:2">
      <c r="A22" s="25" t="s">
        <v>11</v>
      </c>
      <c r="B22" s="26">
        <v>1100660</v>
      </c>
    </row>
    <row r="23" spans="1:2">
      <c r="A23" s="15" t="s">
        <v>12</v>
      </c>
      <c r="B23" s="16" t="s">
        <v>120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63</v>
      </c>
    </row>
    <row r="3" spans="1:2">
      <c r="A3" s="15" t="s">
        <v>1</v>
      </c>
      <c r="B3" s="16">
        <v>71.043999999999997</v>
      </c>
    </row>
    <row r="4" spans="1:2">
      <c r="A4" s="13" t="s">
        <v>2</v>
      </c>
      <c r="B4" s="14">
        <v>10.015000000000001</v>
      </c>
    </row>
    <row r="5" spans="1:2">
      <c r="A5" s="15" t="s">
        <v>3</v>
      </c>
      <c r="B5" s="16">
        <v>10800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15</v>
      </c>
    </row>
    <row r="13" spans="1:2">
      <c r="A13" s="15" t="s">
        <v>9</v>
      </c>
      <c r="B13" s="16" t="s">
        <v>149</v>
      </c>
    </row>
    <row r="14" spans="1:2">
      <c r="A14" s="25" t="s">
        <v>10</v>
      </c>
      <c r="B14" s="26">
        <v>749999</v>
      </c>
    </row>
    <row r="15" spans="1:2">
      <c r="A15" s="15" t="s">
        <v>11</v>
      </c>
      <c r="B15" s="16">
        <v>889413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15</v>
      </c>
    </row>
    <row r="20" spans="1:2">
      <c r="A20" s="25" t="s">
        <v>9</v>
      </c>
      <c r="B20" s="26" t="s">
        <v>149</v>
      </c>
    </row>
    <row r="21" spans="1:2">
      <c r="A21" s="15" t="s">
        <v>10</v>
      </c>
      <c r="B21" s="16">
        <v>749999</v>
      </c>
    </row>
    <row r="22" spans="1:2">
      <c r="A22" s="25" t="s">
        <v>11</v>
      </c>
      <c r="B22" s="26">
        <v>889413</v>
      </c>
    </row>
    <row r="23" spans="1:2">
      <c r="A23" s="15" t="s">
        <v>12</v>
      </c>
      <c r="B23" s="16" t="s">
        <v>150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64</v>
      </c>
    </row>
    <row r="3" spans="1:2">
      <c r="A3" s="15" t="s">
        <v>1</v>
      </c>
      <c r="B3" s="16">
        <v>19.408999999999999</v>
      </c>
    </row>
    <row r="4" spans="1:2">
      <c r="A4" s="13" t="s">
        <v>2</v>
      </c>
      <c r="B4" s="14">
        <v>4.2069999999999999</v>
      </c>
    </row>
    <row r="5" spans="1:2">
      <c r="A5" s="15" t="s">
        <v>3</v>
      </c>
      <c r="B5" s="16">
        <v>10820</v>
      </c>
    </row>
    <row r="6" spans="1:2">
      <c r="A6" s="13" t="s">
        <v>4</v>
      </c>
      <c r="B6" s="14">
        <v>0.5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23</v>
      </c>
    </row>
    <row r="13" spans="1:2">
      <c r="A13" s="15" t="s">
        <v>9</v>
      </c>
      <c r="B13" s="16" t="s">
        <v>151</v>
      </c>
    </row>
    <row r="14" spans="1:2">
      <c r="A14" s="25" t="s">
        <v>10</v>
      </c>
      <c r="B14" s="26">
        <v>215461</v>
      </c>
    </row>
    <row r="15" spans="1:2">
      <c r="A15" s="15" t="s">
        <v>11</v>
      </c>
      <c r="B15" s="16">
        <v>226915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23</v>
      </c>
    </row>
    <row r="20" spans="1:2">
      <c r="A20" s="25" t="s">
        <v>9</v>
      </c>
      <c r="B20" s="26" t="s">
        <v>151</v>
      </c>
    </row>
    <row r="21" spans="1:2">
      <c r="A21" s="15" t="s">
        <v>10</v>
      </c>
      <c r="B21" s="16">
        <v>215461</v>
      </c>
    </row>
    <row r="22" spans="1:2">
      <c r="A22" s="25" t="s">
        <v>11</v>
      </c>
      <c r="B22" s="26">
        <v>226915</v>
      </c>
    </row>
    <row r="23" spans="1:2">
      <c r="A23" s="15" t="s">
        <v>12</v>
      </c>
      <c r="B23" s="16" t="s">
        <v>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19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65</v>
      </c>
    </row>
    <row r="3" spans="1:2">
      <c r="A3" s="15" t="s">
        <v>1</v>
      </c>
      <c r="B3" s="16">
        <v>9.4169999999999998</v>
      </c>
    </row>
    <row r="4" spans="1:2">
      <c r="A4" s="13" t="s">
        <v>2</v>
      </c>
      <c r="B4" s="14">
        <v>3.4049999999999998</v>
      </c>
    </row>
    <row r="5" spans="1:2">
      <c r="A5" s="15" t="s">
        <v>3</v>
      </c>
      <c r="B5" s="16">
        <v>10772</v>
      </c>
    </row>
    <row r="6" spans="1:2">
      <c r="A6" s="13" t="s">
        <v>4</v>
      </c>
      <c r="B6" s="14">
        <v>0.3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107</v>
      </c>
      <c r="B12" s="26" t="s">
        <v>108</v>
      </c>
    </row>
    <row r="14" spans="1:2">
      <c r="A14" s="24" t="s">
        <v>93</v>
      </c>
    </row>
    <row r="15" spans="1:2">
      <c r="A15" s="15" t="s">
        <v>8</v>
      </c>
      <c r="B15" s="16" t="s">
        <v>152</v>
      </c>
    </row>
    <row r="16" spans="1:2">
      <c r="A16" s="25" t="s">
        <v>9</v>
      </c>
      <c r="B16" s="26" t="s">
        <v>153</v>
      </c>
    </row>
    <row r="17" spans="1:2">
      <c r="A17" s="15" t="s">
        <v>10</v>
      </c>
      <c r="B17" s="16">
        <v>278224</v>
      </c>
    </row>
    <row r="18" spans="1:2">
      <c r="A18" s="25" t="s">
        <v>11</v>
      </c>
      <c r="B18" s="26">
        <v>474023</v>
      </c>
    </row>
    <row r="19" spans="1:2">
      <c r="A19" s="15" t="s">
        <v>12</v>
      </c>
      <c r="B19" s="16" t="s">
        <v>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9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67</v>
      </c>
    </row>
    <row r="3" spans="1:2">
      <c r="A3" s="15" t="s">
        <v>1</v>
      </c>
      <c r="B3" s="16">
        <v>8.8109999999999999</v>
      </c>
    </row>
    <row r="4" spans="1:2">
      <c r="A4" s="13" t="s">
        <v>2</v>
      </c>
      <c r="B4" s="14">
        <v>3.2050000000000001</v>
      </c>
    </row>
    <row r="5" spans="1:2">
      <c r="A5" s="15" t="s">
        <v>3</v>
      </c>
      <c r="B5" s="16">
        <v>10708</v>
      </c>
    </row>
    <row r="6" spans="1:2">
      <c r="A6" s="13" t="s">
        <v>4</v>
      </c>
      <c r="B6" s="14">
        <v>0.3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107</v>
      </c>
      <c r="B12" s="26" t="s">
        <v>108</v>
      </c>
    </row>
    <row r="14" spans="1:2">
      <c r="A14" s="24" t="s">
        <v>93</v>
      </c>
    </row>
    <row r="15" spans="1:2">
      <c r="A15" s="15" t="s">
        <v>8</v>
      </c>
      <c r="B15" s="16" t="s">
        <v>152</v>
      </c>
    </row>
    <row r="16" spans="1:2">
      <c r="A16" s="25" t="s">
        <v>9</v>
      </c>
      <c r="B16" s="26" t="s">
        <v>154</v>
      </c>
    </row>
    <row r="17" spans="1:2">
      <c r="A17" s="15" t="s">
        <v>10</v>
      </c>
      <c r="B17" s="16">
        <v>230987</v>
      </c>
    </row>
    <row r="18" spans="1:2">
      <c r="A18" s="25" t="s">
        <v>11</v>
      </c>
      <c r="B18" s="26">
        <v>388799</v>
      </c>
    </row>
    <row r="19" spans="1:2">
      <c r="A19" s="15" t="s">
        <v>12</v>
      </c>
      <c r="B19" s="16" t="s">
        <v>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19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68</v>
      </c>
    </row>
    <row r="3" spans="1:2">
      <c r="A3" s="15" t="s">
        <v>1</v>
      </c>
      <c r="B3" s="16">
        <v>6.0259999999999998</v>
      </c>
    </row>
    <row r="4" spans="1:2">
      <c r="A4" s="13" t="s">
        <v>2</v>
      </c>
      <c r="B4" s="14">
        <v>3.0049999999999999</v>
      </c>
    </row>
    <row r="5" spans="1:2">
      <c r="A5" s="15" t="s">
        <v>3</v>
      </c>
      <c r="B5" s="16">
        <v>10796</v>
      </c>
    </row>
    <row r="6" spans="1:2">
      <c r="A6" s="13" t="s">
        <v>4</v>
      </c>
      <c r="B6" s="14">
        <v>0.3</v>
      </c>
    </row>
    <row r="7" spans="1:2">
      <c r="A7" s="15" t="s">
        <v>5</v>
      </c>
      <c r="B7" s="16">
        <v>4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107</v>
      </c>
      <c r="B12" s="26" t="s">
        <v>108</v>
      </c>
    </row>
    <row r="14" spans="1:2">
      <c r="A14" s="24" t="s">
        <v>93</v>
      </c>
    </row>
    <row r="15" spans="1:2">
      <c r="A15" s="15" t="s">
        <v>8</v>
      </c>
      <c r="B15" s="16" t="s">
        <v>152</v>
      </c>
    </row>
    <row r="16" spans="1:2">
      <c r="A16" s="25" t="s">
        <v>9</v>
      </c>
      <c r="B16" s="26" t="s">
        <v>155</v>
      </c>
    </row>
    <row r="17" spans="1:2">
      <c r="A17" s="15" t="s">
        <v>10</v>
      </c>
      <c r="B17" s="16">
        <v>147994</v>
      </c>
    </row>
    <row r="18" spans="1:2">
      <c r="A18" s="25" t="s">
        <v>11</v>
      </c>
      <c r="B18" s="26">
        <v>224979</v>
      </c>
    </row>
    <row r="19" spans="1:2">
      <c r="A19" s="15" t="s">
        <v>12</v>
      </c>
      <c r="B19" s="16" t="s">
        <v>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19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69</v>
      </c>
    </row>
    <row r="3" spans="1:2">
      <c r="A3" s="15" t="s">
        <v>1</v>
      </c>
      <c r="B3" s="16">
        <v>25.26</v>
      </c>
    </row>
    <row r="4" spans="1:2">
      <c r="A4" s="13" t="s">
        <v>2</v>
      </c>
      <c r="B4" s="14">
        <v>3.2050000000000001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0.3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107</v>
      </c>
      <c r="B12" s="26" t="s">
        <v>108</v>
      </c>
    </row>
    <row r="14" spans="1:2">
      <c r="A14" s="24" t="s">
        <v>93</v>
      </c>
    </row>
    <row r="15" spans="1:2">
      <c r="A15" s="15" t="s">
        <v>8</v>
      </c>
      <c r="B15" s="16" t="s">
        <v>156</v>
      </c>
    </row>
    <row r="16" spans="1:2">
      <c r="A16" s="25" t="s">
        <v>9</v>
      </c>
      <c r="B16" s="26" t="s">
        <v>157</v>
      </c>
    </row>
    <row r="17" spans="1:2">
      <c r="A17" s="15" t="s">
        <v>10</v>
      </c>
      <c r="B17" s="16">
        <v>53797</v>
      </c>
    </row>
    <row r="18" spans="1:2">
      <c r="A18" s="25" t="s">
        <v>11</v>
      </c>
      <c r="B18" s="26">
        <v>63228</v>
      </c>
    </row>
    <row r="19" spans="1:2">
      <c r="A19" s="15" t="s">
        <v>12</v>
      </c>
      <c r="B19" s="16" t="s">
        <v>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19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71</v>
      </c>
    </row>
    <row r="3" spans="1:2">
      <c r="A3" s="15" t="s">
        <v>1</v>
      </c>
      <c r="B3" s="16">
        <v>25.693000000000001</v>
      </c>
    </row>
    <row r="4" spans="1:2">
      <c r="A4" s="13" t="s">
        <v>2</v>
      </c>
      <c r="B4" s="14">
        <v>3.4049999999999998</v>
      </c>
    </row>
    <row r="5" spans="1:2">
      <c r="A5" s="15" t="s">
        <v>3</v>
      </c>
      <c r="B5" s="16">
        <v>10828</v>
      </c>
    </row>
    <row r="6" spans="1:2">
      <c r="A6" s="13" t="s">
        <v>4</v>
      </c>
      <c r="B6" s="14">
        <v>0.3</v>
      </c>
    </row>
    <row r="7" spans="1:2">
      <c r="A7" s="15" t="s">
        <v>5</v>
      </c>
      <c r="B7" s="16">
        <v>5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107</v>
      </c>
      <c r="B12" s="26" t="s">
        <v>108</v>
      </c>
    </row>
    <row r="14" spans="1:2">
      <c r="A14" s="24" t="s">
        <v>93</v>
      </c>
    </row>
    <row r="15" spans="1:2">
      <c r="A15" s="15" t="s">
        <v>8</v>
      </c>
      <c r="B15" s="16" t="s">
        <v>156</v>
      </c>
    </row>
    <row r="16" spans="1:2">
      <c r="A16" s="25" t="s">
        <v>9</v>
      </c>
      <c r="B16" s="26" t="s">
        <v>158</v>
      </c>
    </row>
    <row r="17" spans="1:2">
      <c r="A17" s="15" t="s">
        <v>10</v>
      </c>
      <c r="B17" s="16">
        <v>60660</v>
      </c>
    </row>
    <row r="18" spans="1:2">
      <c r="A18" s="25" t="s">
        <v>11</v>
      </c>
      <c r="B18" s="26">
        <v>65388</v>
      </c>
    </row>
    <row r="19" spans="1:2">
      <c r="A19" s="15" t="s">
        <v>12</v>
      </c>
      <c r="B19" s="16" t="s">
        <v>122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72</v>
      </c>
    </row>
    <row r="3" spans="1:2">
      <c r="A3" s="15" t="s">
        <v>1</v>
      </c>
      <c r="B3" s="16">
        <v>76.927000000000007</v>
      </c>
    </row>
    <row r="4" spans="1:2">
      <c r="A4" s="13" t="s">
        <v>2</v>
      </c>
      <c r="B4" s="14">
        <v>10.616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23</v>
      </c>
    </row>
    <row r="13" spans="1:2">
      <c r="A13" s="15" t="s">
        <v>9</v>
      </c>
      <c r="B13" s="16" t="s">
        <v>159</v>
      </c>
    </row>
    <row r="14" spans="1:2">
      <c r="A14" s="25" t="s">
        <v>10</v>
      </c>
      <c r="B14" s="26">
        <v>841700</v>
      </c>
    </row>
    <row r="15" spans="1:2">
      <c r="A15" s="15" t="s">
        <v>11</v>
      </c>
      <c r="B15" s="16">
        <v>908576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23</v>
      </c>
    </row>
    <row r="20" spans="1:2">
      <c r="A20" s="25" t="s">
        <v>9</v>
      </c>
      <c r="B20" s="26" t="s">
        <v>159</v>
      </c>
    </row>
    <row r="21" spans="1:2">
      <c r="A21" s="15" t="s">
        <v>10</v>
      </c>
      <c r="B21" s="16">
        <v>841700</v>
      </c>
    </row>
    <row r="22" spans="1:2">
      <c r="A22" s="25" t="s">
        <v>11</v>
      </c>
      <c r="B22" s="26">
        <v>908576</v>
      </c>
    </row>
    <row r="23" spans="1:2">
      <c r="A23" s="15" t="s">
        <v>12</v>
      </c>
      <c r="B23" s="16" t="s">
        <v>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73</v>
      </c>
    </row>
    <row r="3" spans="1:2">
      <c r="A3" s="15" t="s">
        <v>1</v>
      </c>
      <c r="B3" s="16">
        <v>149.94499999999999</v>
      </c>
    </row>
    <row r="4" spans="1:2">
      <c r="A4" s="13" t="s">
        <v>2</v>
      </c>
      <c r="B4" s="14">
        <v>19.425999999999998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15</v>
      </c>
    </row>
    <row r="13" spans="1:2">
      <c r="A13" s="15" t="s">
        <v>9</v>
      </c>
      <c r="B13" s="16" t="s">
        <v>160</v>
      </c>
    </row>
    <row r="14" spans="1:2">
      <c r="A14" s="25" t="s">
        <v>10</v>
      </c>
      <c r="B14" s="26">
        <v>2529068</v>
      </c>
    </row>
    <row r="15" spans="1:2">
      <c r="A15" s="15" t="s">
        <v>11</v>
      </c>
      <c r="B15" s="16">
        <v>3349423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15</v>
      </c>
    </row>
    <row r="20" spans="1:2">
      <c r="A20" s="25" t="s">
        <v>9</v>
      </c>
      <c r="B20" s="26" t="s">
        <v>160</v>
      </c>
    </row>
    <row r="21" spans="1:2">
      <c r="A21" s="15" t="s">
        <v>10</v>
      </c>
      <c r="B21" s="16">
        <v>2529068</v>
      </c>
    </row>
    <row r="22" spans="1:2">
      <c r="A22" s="25" t="s">
        <v>11</v>
      </c>
      <c r="B22" s="26">
        <v>3349423</v>
      </c>
    </row>
    <row r="23" spans="1:2">
      <c r="A23" s="15" t="s">
        <v>12</v>
      </c>
      <c r="B23" s="16" t="s">
        <v>161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74</v>
      </c>
    </row>
    <row r="3" spans="1:2">
      <c r="A3" s="15" t="s">
        <v>1</v>
      </c>
      <c r="B3" s="16">
        <v>157.08600000000001</v>
      </c>
    </row>
    <row r="4" spans="1:2">
      <c r="A4" s="13" t="s">
        <v>2</v>
      </c>
      <c r="B4" s="14">
        <v>18.026</v>
      </c>
    </row>
    <row r="5" spans="1:2">
      <c r="A5" s="15" t="s">
        <v>3</v>
      </c>
      <c r="B5" s="16">
        <v>10828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0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15</v>
      </c>
    </row>
    <row r="13" spans="1:2">
      <c r="A13" s="15" t="s">
        <v>9</v>
      </c>
      <c r="B13" s="16" t="s">
        <v>162</v>
      </c>
    </row>
    <row r="14" spans="1:2">
      <c r="A14" s="25" t="s">
        <v>10</v>
      </c>
      <c r="B14" s="26">
        <v>2839877</v>
      </c>
    </row>
    <row r="15" spans="1:2">
      <c r="A15" s="15" t="s">
        <v>11</v>
      </c>
      <c r="B15" s="16">
        <v>5025666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15</v>
      </c>
    </row>
    <row r="20" spans="1:2">
      <c r="A20" s="25" t="s">
        <v>9</v>
      </c>
      <c r="B20" s="26" t="s">
        <v>162</v>
      </c>
    </row>
    <row r="21" spans="1:2">
      <c r="A21" s="15" t="s">
        <v>10</v>
      </c>
      <c r="B21" s="16">
        <v>2839877</v>
      </c>
    </row>
    <row r="22" spans="1:2">
      <c r="A22" s="25" t="s">
        <v>11</v>
      </c>
      <c r="B22" s="26">
        <v>5025666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75</v>
      </c>
    </row>
    <row r="3" spans="1:2">
      <c r="A3" s="15" t="s">
        <v>1</v>
      </c>
      <c r="B3" s="16">
        <v>257.084</v>
      </c>
    </row>
    <row r="4" spans="1:2">
      <c r="A4" s="13" t="s">
        <v>2</v>
      </c>
      <c r="B4" s="14">
        <v>31.844000000000001</v>
      </c>
    </row>
    <row r="5" spans="1:2">
      <c r="A5" s="15" t="s">
        <v>3</v>
      </c>
      <c r="B5" s="16">
        <v>10820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0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76</v>
      </c>
    </row>
    <row r="13" spans="1:2">
      <c r="A13" s="15" t="s">
        <v>9</v>
      </c>
      <c r="B13" s="16" t="s">
        <v>163</v>
      </c>
    </row>
    <row r="14" spans="1:2">
      <c r="A14" s="25" t="s">
        <v>10</v>
      </c>
      <c r="B14" s="26">
        <v>1898403</v>
      </c>
    </row>
    <row r="15" spans="1:2">
      <c r="A15" s="15" t="s">
        <v>11</v>
      </c>
      <c r="B15" s="16">
        <v>8198764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76</v>
      </c>
    </row>
    <row r="20" spans="1:2">
      <c r="A20" s="25" t="s">
        <v>9</v>
      </c>
      <c r="B20" s="26" t="s">
        <v>163</v>
      </c>
    </row>
    <row r="21" spans="1:2">
      <c r="A21" s="15" t="s">
        <v>10</v>
      </c>
      <c r="B21" s="16">
        <v>1898403</v>
      </c>
    </row>
    <row r="22" spans="1:2">
      <c r="A22" s="25" t="s">
        <v>11</v>
      </c>
      <c r="B22" s="26">
        <v>8198764</v>
      </c>
    </row>
    <row r="23" spans="1:2">
      <c r="A23" s="15" t="s">
        <v>12</v>
      </c>
      <c r="B23" s="16" t="s">
        <v>122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19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77</v>
      </c>
    </row>
    <row r="3" spans="1:2">
      <c r="A3" s="15" t="s">
        <v>1</v>
      </c>
      <c r="B3" s="16">
        <v>95.094999999999999</v>
      </c>
    </row>
    <row r="4" spans="1:2">
      <c r="A4" s="13" t="s">
        <v>2</v>
      </c>
      <c r="B4" s="14">
        <v>16.222000000000001</v>
      </c>
    </row>
    <row r="5" spans="1:2">
      <c r="A5" s="15" t="s">
        <v>3</v>
      </c>
      <c r="B5" s="16">
        <v>10800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0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107</v>
      </c>
      <c r="B12" s="26" t="s">
        <v>108</v>
      </c>
    </row>
    <row r="14" spans="1:2">
      <c r="A14" s="24" t="s">
        <v>93</v>
      </c>
    </row>
    <row r="15" spans="1:2">
      <c r="A15" s="15" t="s">
        <v>8</v>
      </c>
      <c r="B15" s="16" t="s">
        <v>164</v>
      </c>
    </row>
    <row r="16" spans="1:2">
      <c r="A16" s="25" t="s">
        <v>9</v>
      </c>
      <c r="B16" s="26" t="s">
        <v>165</v>
      </c>
    </row>
    <row r="17" spans="1:2">
      <c r="A17" s="15" t="s">
        <v>10</v>
      </c>
      <c r="B17" s="16">
        <v>25876</v>
      </c>
    </row>
    <row r="18" spans="1:2">
      <c r="A18" s="25" t="s">
        <v>11</v>
      </c>
      <c r="B18" s="26">
        <v>27776</v>
      </c>
    </row>
    <row r="19" spans="1:2">
      <c r="A19" s="15" t="s">
        <v>12</v>
      </c>
      <c r="B19" s="16" t="s">
        <v>120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79</v>
      </c>
    </row>
    <row r="3" spans="1:2">
      <c r="A3" s="15" t="s">
        <v>1</v>
      </c>
      <c r="B3" s="16">
        <v>196.89500000000001</v>
      </c>
    </row>
    <row r="4" spans="1:2">
      <c r="A4" s="13" t="s">
        <v>2</v>
      </c>
      <c r="B4" s="14">
        <v>25.234999999999999</v>
      </c>
    </row>
    <row r="5" spans="1:2">
      <c r="A5" s="15" t="s">
        <v>3</v>
      </c>
      <c r="B5" s="16">
        <v>10824</v>
      </c>
    </row>
    <row r="6" spans="1:2">
      <c r="A6" s="13" t="s">
        <v>4</v>
      </c>
      <c r="B6" s="14">
        <v>0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15</v>
      </c>
    </row>
    <row r="13" spans="1:2">
      <c r="A13" s="15" t="s">
        <v>9</v>
      </c>
      <c r="B13" s="16" t="s">
        <v>166</v>
      </c>
    </row>
    <row r="14" spans="1:2">
      <c r="A14" s="25" t="s">
        <v>10</v>
      </c>
      <c r="B14" s="26">
        <v>4371350</v>
      </c>
    </row>
    <row r="15" spans="1:2">
      <c r="A15" s="15" t="s">
        <v>11</v>
      </c>
      <c r="B15" s="16">
        <v>6404814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15</v>
      </c>
    </row>
    <row r="20" spans="1:2">
      <c r="A20" s="25" t="s">
        <v>9</v>
      </c>
      <c r="B20" s="26" t="s">
        <v>166</v>
      </c>
    </row>
    <row r="21" spans="1:2">
      <c r="A21" s="15" t="s">
        <v>10</v>
      </c>
      <c r="B21" s="16">
        <v>4371350</v>
      </c>
    </row>
    <row r="22" spans="1:2">
      <c r="A22" s="25" t="s">
        <v>11</v>
      </c>
      <c r="B22" s="26">
        <v>6404814</v>
      </c>
    </row>
    <row r="23" spans="1:2">
      <c r="A23" s="15" t="s">
        <v>12</v>
      </c>
      <c r="B23" s="16" t="s">
        <v>161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80</v>
      </c>
    </row>
    <row r="3" spans="1:2">
      <c r="A3" s="15" t="s">
        <v>1</v>
      </c>
      <c r="B3" s="16">
        <v>133.733</v>
      </c>
    </row>
    <row r="4" spans="1:2">
      <c r="A4" s="13" t="s">
        <v>2</v>
      </c>
      <c r="B4" s="14">
        <v>15.622999999999999</v>
      </c>
    </row>
    <row r="5" spans="1:2">
      <c r="A5" s="15" t="s">
        <v>3</v>
      </c>
      <c r="B5" s="16">
        <v>10816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0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81</v>
      </c>
    </row>
    <row r="13" spans="1:2">
      <c r="A13" s="15" t="s">
        <v>9</v>
      </c>
      <c r="B13" s="16" t="s">
        <v>167</v>
      </c>
    </row>
    <row r="14" spans="1:2">
      <c r="A14" s="25" t="s">
        <v>10</v>
      </c>
      <c r="B14" s="26">
        <v>1379375</v>
      </c>
    </row>
    <row r="15" spans="1:2">
      <c r="A15" s="15" t="s">
        <v>11</v>
      </c>
      <c r="B15" s="16">
        <v>4576834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81</v>
      </c>
    </row>
    <row r="20" spans="1:2">
      <c r="A20" s="25" t="s">
        <v>9</v>
      </c>
      <c r="B20" s="26" t="s">
        <v>167</v>
      </c>
    </row>
    <row r="21" spans="1:2">
      <c r="A21" s="15" t="s">
        <v>10</v>
      </c>
      <c r="B21" s="16">
        <v>1379375</v>
      </c>
    </row>
    <row r="22" spans="1:2">
      <c r="A22" s="25" t="s">
        <v>11</v>
      </c>
      <c r="B22" s="26">
        <v>4576834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82</v>
      </c>
    </row>
    <row r="3" spans="1:2">
      <c r="A3" s="15" t="s">
        <v>1</v>
      </c>
      <c r="B3" s="16">
        <v>95.695999999999998</v>
      </c>
    </row>
    <row r="4" spans="1:2">
      <c r="A4" s="13" t="s">
        <v>2</v>
      </c>
      <c r="B4" s="14">
        <v>12.016999999999999</v>
      </c>
    </row>
    <row r="5" spans="1:2">
      <c r="A5" s="15" t="s">
        <v>3</v>
      </c>
      <c r="B5" s="16">
        <v>10808</v>
      </c>
    </row>
    <row r="6" spans="1:2">
      <c r="A6" s="13" t="s">
        <v>4</v>
      </c>
      <c r="B6" s="14">
        <v>0.1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26</v>
      </c>
    </row>
    <row r="13" spans="1:2">
      <c r="A13" s="15" t="s">
        <v>9</v>
      </c>
      <c r="B13" s="16" t="s">
        <v>168</v>
      </c>
    </row>
    <row r="14" spans="1:2">
      <c r="A14" s="25" t="s">
        <v>10</v>
      </c>
      <c r="B14" s="26">
        <v>1640770</v>
      </c>
    </row>
    <row r="15" spans="1:2">
      <c r="A15" s="15" t="s">
        <v>11</v>
      </c>
      <c r="B15" s="16">
        <v>6154497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26</v>
      </c>
    </row>
    <row r="20" spans="1:2">
      <c r="A20" s="25" t="s">
        <v>9</v>
      </c>
      <c r="B20" s="26" t="s">
        <v>168</v>
      </c>
    </row>
    <row r="21" spans="1:2">
      <c r="A21" s="15" t="s">
        <v>10</v>
      </c>
      <c r="B21" s="16">
        <v>1640770</v>
      </c>
    </row>
    <row r="22" spans="1:2">
      <c r="A22" s="25" t="s">
        <v>11</v>
      </c>
      <c r="B22" s="26">
        <v>6154497</v>
      </c>
    </row>
    <row r="23" spans="1:2">
      <c r="A23" s="15" t="s">
        <v>12</v>
      </c>
      <c r="B23" s="16" t="s">
        <v>95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23"/>
  <sheetViews>
    <sheetView workbookViewId="0"/>
  </sheetViews>
  <sheetFormatPr defaultRowHeight="14.25"/>
  <cols>
    <col min="1" max="1" width="20" customWidth="1"/>
    <col min="2" max="2" width="60" customWidth="1"/>
  </cols>
  <sheetData>
    <row r="1" spans="1:2">
      <c r="A1" s="12" t="s">
        <v>90</v>
      </c>
      <c r="B1" s="12" t="s">
        <v>91</v>
      </c>
    </row>
    <row r="2" spans="1:2">
      <c r="A2" s="13" t="s">
        <v>0</v>
      </c>
      <c r="B2" s="14" t="s">
        <v>83</v>
      </c>
    </row>
    <row r="3" spans="1:2">
      <c r="A3" s="15" t="s">
        <v>1</v>
      </c>
      <c r="B3" s="16">
        <v>99.6</v>
      </c>
    </row>
    <row r="4" spans="1:2">
      <c r="A4" s="13" t="s">
        <v>2</v>
      </c>
      <c r="B4" s="14">
        <v>13.019</v>
      </c>
    </row>
    <row r="5" spans="1:2">
      <c r="A5" s="15" t="s">
        <v>3</v>
      </c>
      <c r="B5" s="16">
        <v>10828</v>
      </c>
    </row>
    <row r="6" spans="1:2">
      <c r="A6" s="13" t="s">
        <v>4</v>
      </c>
      <c r="B6" s="14">
        <v>0.2</v>
      </c>
    </row>
    <row r="7" spans="1:2">
      <c r="A7" s="15" t="s">
        <v>5</v>
      </c>
      <c r="B7" s="16">
        <v>3</v>
      </c>
    </row>
    <row r="8" spans="1:2">
      <c r="A8" s="13" t="s">
        <v>6</v>
      </c>
      <c r="B8" s="14">
        <v>0</v>
      </c>
    </row>
    <row r="9" spans="1:2">
      <c r="A9" s="15" t="s">
        <v>7</v>
      </c>
      <c r="B9" s="16" t="s">
        <v>92</v>
      </c>
    </row>
    <row r="11" spans="1:2">
      <c r="A11" s="24" t="s">
        <v>93</v>
      </c>
    </row>
    <row r="12" spans="1:2">
      <c r="A12" s="25" t="s">
        <v>8</v>
      </c>
      <c r="B12" s="26" t="s">
        <v>23</v>
      </c>
    </row>
    <row r="13" spans="1:2">
      <c r="A13" s="15" t="s">
        <v>9</v>
      </c>
      <c r="B13" s="16" t="s">
        <v>169</v>
      </c>
    </row>
    <row r="14" spans="1:2">
      <c r="A14" s="25" t="s">
        <v>10</v>
      </c>
      <c r="B14" s="26">
        <v>1148637</v>
      </c>
    </row>
    <row r="15" spans="1:2">
      <c r="A15" s="15" t="s">
        <v>11</v>
      </c>
      <c r="B15" s="16">
        <v>1224111</v>
      </c>
    </row>
    <row r="16" spans="1:2">
      <c r="A16" s="25" t="s">
        <v>12</v>
      </c>
      <c r="B16" s="26" t="s">
        <v>95</v>
      </c>
    </row>
    <row r="18" spans="1:2">
      <c r="A18" s="24" t="s">
        <v>93</v>
      </c>
    </row>
    <row r="19" spans="1:2">
      <c r="A19" s="15" t="s">
        <v>8</v>
      </c>
      <c r="B19" s="16" t="s">
        <v>23</v>
      </c>
    </row>
    <row r="20" spans="1:2">
      <c r="A20" s="25" t="s">
        <v>9</v>
      </c>
      <c r="B20" s="26" t="s">
        <v>169</v>
      </c>
    </row>
    <row r="21" spans="1:2">
      <c r="A21" s="15" t="s">
        <v>10</v>
      </c>
      <c r="B21" s="16">
        <v>1148637</v>
      </c>
    </row>
    <row r="22" spans="1:2">
      <c r="A22" s="25" t="s">
        <v>11</v>
      </c>
      <c r="B22" s="26">
        <v>1224111</v>
      </c>
    </row>
    <row r="23" spans="1:2">
      <c r="A23" s="15" t="s">
        <v>12</v>
      </c>
      <c r="B23" s="16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Benchmark Results</vt:lpstr>
      <vt:lpstr>DRR553078.fastq.gz</vt:lpstr>
      <vt:lpstr>SRR014845.fastq.gz</vt:lpstr>
      <vt:lpstr>SRR064411.fastq.gz</vt:lpstr>
      <vt:lpstr>SRR10270828.fastq.gz</vt:lpstr>
      <vt:lpstr>SRR11187851.fastq.gz</vt:lpstr>
      <vt:lpstr>SRR11976330.fastq.gz</vt:lpstr>
      <vt:lpstr>SRR12395362.fastq.gz</vt:lpstr>
      <vt:lpstr>SRR12395398.fastq.gz</vt:lpstr>
      <vt:lpstr>SRR12395407.fastq.gz</vt:lpstr>
      <vt:lpstr>SRR1269560.fastq.gz</vt:lpstr>
      <vt:lpstr>SRR13481122.fastq.gz</vt:lpstr>
      <vt:lpstr>SRR13717242.fastq.gz</vt:lpstr>
      <vt:lpstr>SRR13717344.fastq.gz</vt:lpstr>
      <vt:lpstr>SRR1635675.fastq.gz</vt:lpstr>
      <vt:lpstr>SRR18665484.fastq.gz</vt:lpstr>
      <vt:lpstr>SRR25119414.fastq.gz</vt:lpstr>
      <vt:lpstr>SRR25438750.fastq.gz</vt:lpstr>
      <vt:lpstr>SRR25573008.fastq.gz</vt:lpstr>
      <vt:lpstr>SRR26135184.fastq.gz</vt:lpstr>
      <vt:lpstr>SRR26412308.fastq.gz</vt:lpstr>
      <vt:lpstr>SRR26809132.fastq.gz</vt:lpstr>
      <vt:lpstr>SRR28129145.fastq.gz</vt:lpstr>
      <vt:lpstr>SRR28554255.fastq.gz</vt:lpstr>
      <vt:lpstr>SRR28625656.fastq.gz</vt:lpstr>
      <vt:lpstr>SRR28813410.fastq.gz</vt:lpstr>
      <vt:lpstr>SRR31034632.fastq.gz</vt:lpstr>
      <vt:lpstr>SRR35304775.fastq.gz</vt:lpstr>
      <vt:lpstr>SRR35320458.fastq.gz</vt:lpstr>
      <vt:lpstr>SRR35323168.fastq.gz</vt:lpstr>
      <vt:lpstr>SRR35327908.fastq.gz</vt:lpstr>
      <vt:lpstr>SRR35329904.fastq.gz</vt:lpstr>
      <vt:lpstr>SRR35351752.fastq.gz</vt:lpstr>
      <vt:lpstr>SRR35366030.fastq.gz</vt:lpstr>
      <vt:lpstr>SRR35371573.fastq.gz</vt:lpstr>
      <vt:lpstr>SRR35371574.fastq.gz</vt:lpstr>
      <vt:lpstr>SRR35371988.fastq.gz</vt:lpstr>
      <vt:lpstr>SRR35385940.fastq.gz</vt:lpstr>
      <vt:lpstr>SRR35385944.fastq.gz</vt:lpstr>
      <vt:lpstr>SRR35385945.fastq.gz</vt:lpstr>
      <vt:lpstr>SRR387636.fastq.gz</vt:lpstr>
      <vt:lpstr>SRR496611.fastq.gz</vt:lpstr>
      <vt:lpstr>SRR5100334.fastq.gz</vt:lpstr>
      <vt:lpstr>SRR5519762.fastq.gz</vt:lpstr>
      <vt:lpstr>SRR5519805.fastq.gz</vt:lpstr>
      <vt:lpstr>SRR5891477.fastq.gz</vt:lpstr>
      <vt:lpstr>SRR5891487.fastq.gz</vt:lpstr>
      <vt:lpstr>SRR5891499.fastq.gz</vt:lpstr>
      <vt:lpstr>SRR6650709.fastq.gz</vt:lpstr>
      <vt:lpstr>SRR7131036.fastq.gz</vt:lpstr>
      <vt:lpstr>SRR8526667.fastq.gz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Suraiya Jabin</dc:creator>
  <cp:lastModifiedBy>Suraiya Jabin</cp:lastModifiedBy>
  <dcterms:created xsi:type="dcterms:W3CDTF">2026-06-01T08:42:02Z</dcterms:created>
  <dcterms:modified xsi:type="dcterms:W3CDTF">2026-06-06T01:05:13Z</dcterms:modified>
</cp:coreProperties>
</file>