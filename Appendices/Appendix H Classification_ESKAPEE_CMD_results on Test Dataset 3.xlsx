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SKAPEE work 21 july 2021\draft paper 5 july 2022\Intelligence based medicine 15 jan 2026\submission 15 jan 2026\final 15 Jan 2026\Appendices\"/>
    </mc:Choice>
  </mc:AlternateContent>
  <xr:revisionPtr revIDLastSave="0" documentId="13_ncr:1_{A41C65CB-1614-4948-A855-1AE7FD5F923C}" xr6:coauthVersionLast="47" xr6:coauthVersionMax="47" xr10:uidLastSave="{00000000-0000-0000-0000-000000000000}"/>
  <bookViews>
    <workbookView xWindow="-98" yWindow="-98" windowWidth="21795" windowHeight="12975" xr2:uid="{972D3448-F4DC-4EF0-BD26-F50F816E99C7}"/>
  </bookViews>
  <sheets>
    <sheet name="ESKAPEE_CMD_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6" i="1"/>
  <c r="D65" i="1"/>
  <c r="D67" i="1"/>
  <c r="D64" i="1"/>
  <c r="D63" i="1"/>
  <c r="D62" i="1"/>
  <c r="D60" i="1"/>
</calcChain>
</file>

<file path=xl/sharedStrings.xml><?xml version="1.0" encoding="utf-8"?>
<sst xmlns="http://schemas.openxmlformats.org/spreadsheetml/2006/main" count="486" uniqueCount="217">
  <si>
    <t>Filename</t>
  </si>
  <si>
    <t>BasePairs</t>
  </si>
  <si>
    <t>Status</t>
  </si>
  <si>
    <t>DRR553078</t>
  </si>
  <si>
    <t>295M</t>
  </si>
  <si>
    <t>0:01:00</t>
  </si>
  <si>
    <t>ESKAPEE</t>
  </si>
  <si>
    <t>Acinetobacter baumannii</t>
  </si>
  <si>
    <t>SUCCESS</t>
  </si>
  <si>
    <t>SRR014845</t>
  </si>
  <si>
    <t>36M</t>
  </si>
  <si>
    <t>0:00:08</t>
  </si>
  <si>
    <t>Non-ESKAPEE</t>
  </si>
  <si>
    <t>N.A.</t>
  </si>
  <si>
    <t>SRR064411</t>
  </si>
  <si>
    <t>34M</t>
  </si>
  <si>
    <t>0:00:07</t>
  </si>
  <si>
    <t>SRR10270828</t>
  </si>
  <si>
    <t>899M</t>
  </si>
  <si>
    <t>0:03:11</t>
  </si>
  <si>
    <t>Enterococcus faecium</t>
  </si>
  <si>
    <t>SRR11187851</t>
  </si>
  <si>
    <t>444M</t>
  </si>
  <si>
    <t>0:01:31</t>
  </si>
  <si>
    <t>Staphylococcus aureus</t>
  </si>
  <si>
    <t>SRR11976330</t>
  </si>
  <si>
    <t>1G</t>
  </si>
  <si>
    <t>0:05:39</t>
  </si>
  <si>
    <t>SRR12395362</t>
  </si>
  <si>
    <t>0:03:26</t>
  </si>
  <si>
    <t>SRR12395398</t>
  </si>
  <si>
    <t>17M</t>
  </si>
  <si>
    <t>0:00:03</t>
  </si>
  <si>
    <t>SRR12395407</t>
  </si>
  <si>
    <t>751M</t>
  </si>
  <si>
    <t>0:02:32</t>
  </si>
  <si>
    <t>SRR1269560</t>
  </si>
  <si>
    <t>0:04:09</t>
  </si>
  <si>
    <t>SRR13481122</t>
  </si>
  <si>
    <t>164M</t>
  </si>
  <si>
    <t>0:00:32</t>
  </si>
  <si>
    <t>SRR13717242</t>
  </si>
  <si>
    <t>195M</t>
  </si>
  <si>
    <t>0:00:39</t>
  </si>
  <si>
    <t>SRR13717344</t>
  </si>
  <si>
    <t>189M</t>
  </si>
  <si>
    <t>0:00:38</t>
  </si>
  <si>
    <t>SRR1635675</t>
  </si>
  <si>
    <t>30M</t>
  </si>
  <si>
    <t>0:00:06</t>
  </si>
  <si>
    <t>SRR18665484</t>
  </si>
  <si>
    <t>305M</t>
  </si>
  <si>
    <t>SRR25119414</t>
  </si>
  <si>
    <t>630M</t>
  </si>
  <si>
    <t>0:02:03</t>
  </si>
  <si>
    <t>Pseudomonas aeruginosa</t>
  </si>
  <si>
    <t>SRR25438750</t>
  </si>
  <si>
    <t>572M</t>
  </si>
  <si>
    <t>0:01:55</t>
  </si>
  <si>
    <t>Escherichia coli</t>
  </si>
  <si>
    <t>SRR25573008</t>
  </si>
  <si>
    <t>864M</t>
  </si>
  <si>
    <t>0:03:08</t>
  </si>
  <si>
    <t>SRR26135184</t>
  </si>
  <si>
    <t>47M</t>
  </si>
  <si>
    <t>0:00:09</t>
  </si>
  <si>
    <t>SRR26412308</t>
  </si>
  <si>
    <t>705M</t>
  </si>
  <si>
    <t>0:02:15</t>
  </si>
  <si>
    <t>Klebsiella pneumoniae</t>
  </si>
  <si>
    <t>SRR26809132</t>
  </si>
  <si>
    <t>629M</t>
  </si>
  <si>
    <t>0:02:02</t>
  </si>
  <si>
    <t>SRR28129145</t>
  </si>
  <si>
    <t>0:03:59</t>
  </si>
  <si>
    <t>SRR28554255</t>
  </si>
  <si>
    <t>24M</t>
  </si>
  <si>
    <t>0:00:05</t>
  </si>
  <si>
    <t>SRR28625656</t>
  </si>
  <si>
    <t>523M</t>
  </si>
  <si>
    <t>0:01:43</t>
  </si>
  <si>
    <t>SRR28813410</t>
  </si>
  <si>
    <t>722M</t>
  </si>
  <si>
    <t>0:02:18</t>
  </si>
  <si>
    <t>SRR31034632</t>
  </si>
  <si>
    <t>19M</t>
  </si>
  <si>
    <t>0:00:04</t>
  </si>
  <si>
    <t>SRR35304775</t>
  </si>
  <si>
    <t>221M</t>
  </si>
  <si>
    <t>0:00:43</t>
  </si>
  <si>
    <t>SRR35320458</t>
  </si>
  <si>
    <t>259M</t>
  </si>
  <si>
    <t>0:00:50</t>
  </si>
  <si>
    <t>SRR35323168</t>
  </si>
  <si>
    <t>251M</t>
  </si>
  <si>
    <t>0:00:49</t>
  </si>
  <si>
    <t>SRR35327908</t>
  </si>
  <si>
    <t>552M</t>
  </si>
  <si>
    <t>0:01:46</t>
  </si>
  <si>
    <t>SRR35329904</t>
  </si>
  <si>
    <t>157M</t>
  </si>
  <si>
    <t>SRR35351752</t>
  </si>
  <si>
    <t>331M</t>
  </si>
  <si>
    <t>0:01:05</t>
  </si>
  <si>
    <t>SRR35366030</t>
  </si>
  <si>
    <t>257M</t>
  </si>
  <si>
    <t>0:00:52</t>
  </si>
  <si>
    <t>SRR35371573</t>
  </si>
  <si>
    <t>239M</t>
  </si>
  <si>
    <t>SRR35371574</t>
  </si>
  <si>
    <t>191M</t>
  </si>
  <si>
    <t>SRR35371988</t>
  </si>
  <si>
    <t>52M</t>
  </si>
  <si>
    <t>0:00:10</t>
  </si>
  <si>
    <t>SRR35385940</t>
  </si>
  <si>
    <t>108M</t>
  </si>
  <si>
    <t>0:00:18</t>
  </si>
  <si>
    <t>SRR35385944</t>
  </si>
  <si>
    <t>71M</t>
  </si>
  <si>
    <t>0:00:13</t>
  </si>
  <si>
    <t>SRR35385945</t>
  </si>
  <si>
    <t>69M</t>
  </si>
  <si>
    <t>0:00:12</t>
  </si>
  <si>
    <t>SRR387636</t>
  </si>
  <si>
    <t>39M</t>
  </si>
  <si>
    <t>SRR496611</t>
  </si>
  <si>
    <t>38M</t>
  </si>
  <si>
    <t>SRR5100334</t>
  </si>
  <si>
    <t>217M</t>
  </si>
  <si>
    <t>0:00:42</t>
  </si>
  <si>
    <t>SRR5519762</t>
  </si>
  <si>
    <t>393M</t>
  </si>
  <si>
    <t>0:01:19</t>
  </si>
  <si>
    <t>SRR5519805</t>
  </si>
  <si>
    <t>476M</t>
  </si>
  <si>
    <t>0:01:33</t>
  </si>
  <si>
    <t>SRR5891477</t>
  </si>
  <si>
    <t>613M</t>
  </si>
  <si>
    <t>0:02:00</t>
  </si>
  <si>
    <t>SRR5891487</t>
  </si>
  <si>
    <t>319M</t>
  </si>
  <si>
    <t>0:01:03</t>
  </si>
  <si>
    <t>SRR5891499</t>
  </si>
  <si>
    <t>469M</t>
  </si>
  <si>
    <t>0:01:30</t>
  </si>
  <si>
    <t>SRR6650709</t>
  </si>
  <si>
    <t>376M</t>
  </si>
  <si>
    <t>0:01:12</t>
  </si>
  <si>
    <t>SRR7131036</t>
  </si>
  <si>
    <t>248M</t>
  </si>
  <si>
    <t>SRR8526667</t>
  </si>
  <si>
    <t>280M</t>
  </si>
  <si>
    <t>0:00:56</t>
  </si>
  <si>
    <t>Negativicoccus massiliensis *</t>
  </si>
  <si>
    <t>Enterobacter hormaechei</t>
  </si>
  <si>
    <t>Klebsiella sp. 2N3</t>
  </si>
  <si>
    <t>Escherichia coli *</t>
  </si>
  <si>
    <t>Staphylococcus epidermidis *</t>
  </si>
  <si>
    <t>Acinetobacter calcoaceticus</t>
  </si>
  <si>
    <t>Acinetobacter baumannii *</t>
  </si>
  <si>
    <t>Mycobacterium canettii</t>
  </si>
  <si>
    <t>Mycobacterium africanum</t>
  </si>
  <si>
    <t>Staphylococcus capitis</t>
  </si>
  <si>
    <t>Bacillus sp. (in: Bacteria)</t>
  </si>
  <si>
    <t>Mycobacterium tuberculosis *</t>
  </si>
  <si>
    <t>Anaplasma marginale</t>
  </si>
  <si>
    <t>Pseudomonas aeruginosa *</t>
  </si>
  <si>
    <t>Staphylococcus argenteus</t>
  </si>
  <si>
    <t>Summary</t>
  </si>
  <si>
    <t>Total files</t>
  </si>
  <si>
    <t>Total time (s)</t>
  </si>
  <si>
    <t>Avg time (s)</t>
  </si>
  <si>
    <t>Max RAM (KB)</t>
  </si>
  <si>
    <t>Avg CPU %</t>
  </si>
  <si>
    <t>Successful</t>
  </si>
  <si>
    <t>PeakGPU %</t>
  </si>
  <si>
    <t>Miss-Classified %</t>
  </si>
  <si>
    <t>S.No.</t>
  </si>
  <si>
    <t>Size (MB)</t>
  </si>
  <si>
    <t>Time (sec)</t>
  </si>
  <si>
    <t>Peak RAM (KB)</t>
  </si>
  <si>
    <t>Peak GPU %</t>
  </si>
  <si>
    <t>Exit Code</t>
  </si>
  <si>
    <t>Total file size (MB)</t>
  </si>
  <si>
    <t>7 GB</t>
  </si>
  <si>
    <t>962 MB</t>
  </si>
  <si>
    <t>ProcessingTime (h:mm:ss)</t>
  </si>
  <si>
    <t>Mycobacterium tuberculosis</t>
  </si>
  <si>
    <t>Enterobacter hormaechei subsp. xiangfangensis</t>
  </si>
  <si>
    <t>air metagenome</t>
  </si>
  <si>
    <t>Staphylococcus epidermidis 14.1.R1.SE</t>
  </si>
  <si>
    <t>Staphylococcus epidermidis NIH04008</t>
  </si>
  <si>
    <t>Mycobacterium canetti</t>
  </si>
  <si>
    <t>Staphylococcus caprae M23864:W1</t>
  </si>
  <si>
    <t>Bacillus subtilis</t>
  </si>
  <si>
    <t>Organism Name extracted from NCBI/SRA metadata</t>
  </si>
  <si>
    <t>MainClass predicted by ESKAPEE_CMD</t>
  </si>
  <si>
    <t>SubClass predicted by ESKAPEE_CMD</t>
  </si>
  <si>
    <t>~1.15 hour</t>
  </si>
  <si>
    <t>~1.4 minute</t>
  </si>
  <si>
    <t>Centrifuge_bacteria output (for comparison)</t>
  </si>
  <si>
    <t>Appendix H:</t>
  </si>
  <si>
    <t>ESKAPEE_CMD Results on Test Dataset 3</t>
  </si>
  <si>
    <t>Acinetobacter sp</t>
  </si>
  <si>
    <t>Staphylococcus caprae</t>
  </si>
  <si>
    <t>bacillus sp</t>
  </si>
  <si>
    <t>Enterobacter cloacae</t>
  </si>
  <si>
    <t>Homo sapiens</t>
  </si>
  <si>
    <t>Staphylococcus epidermidis</t>
  </si>
  <si>
    <t>Kraken2 BV-BRC species name (for comparison)</t>
  </si>
  <si>
    <t>ESKAPEE:</t>
  </si>
  <si>
    <t>6 out of 50</t>
  </si>
  <si>
    <t>Enterobacter sp.</t>
  </si>
  <si>
    <t>Peak Avg CPU %</t>
  </si>
  <si>
    <t>No organism identified</t>
  </si>
  <si>
    <r>
      <rPr>
        <b/>
        <i/>
        <u/>
        <sz val="12"/>
        <color theme="8" tint="-0.249977111117893"/>
        <rFont val="Times New Roman"/>
        <family val="1"/>
      </rPr>
      <t>E.</t>
    </r>
    <r>
      <rPr>
        <b/>
        <i/>
        <sz val="12"/>
        <color theme="8" tint="-0.249977111117893"/>
        <rFont val="Times New Roman"/>
        <family val="1"/>
      </rPr>
      <t xml:space="preserve"> </t>
    </r>
    <r>
      <rPr>
        <b/>
        <i/>
        <u/>
        <sz val="12"/>
        <color theme="8" tint="-0.249977111117893"/>
        <rFont val="Times New Roman"/>
        <family val="1"/>
      </rPr>
      <t>Coli</t>
    </r>
  </si>
  <si>
    <r>
      <t>Enterococcus faecium</t>
    </r>
    <r>
      <rPr>
        <b/>
        <i/>
        <sz val="12"/>
        <color theme="8" tint="-0.249977111117893"/>
        <rFont val="Times New Roman"/>
        <family val="1"/>
      </rPr>
      <t xml:space="preserve">, </t>
    </r>
    <r>
      <rPr>
        <b/>
        <i/>
        <u/>
        <sz val="12"/>
        <color theme="8" tint="-0.249977111117893"/>
        <rFont val="Times New Roman"/>
        <family val="1"/>
      </rPr>
      <t>Staphylococcus</t>
    </r>
    <r>
      <rPr>
        <b/>
        <i/>
        <sz val="12"/>
        <color theme="8" tint="-0.249977111117893"/>
        <rFont val="Times New Roman"/>
        <family val="1"/>
      </rPr>
      <t xml:space="preserve"> </t>
    </r>
    <r>
      <rPr>
        <b/>
        <i/>
        <u/>
        <sz val="12"/>
        <color theme="8" tint="-0.249977111117893"/>
        <rFont val="Times New Roman"/>
        <family val="1"/>
      </rPr>
      <t>aureus</t>
    </r>
    <r>
      <rPr>
        <b/>
        <i/>
        <sz val="12"/>
        <color theme="8" tint="-0.249977111117893"/>
        <rFont val="Times New Roman"/>
        <family val="1"/>
      </rPr>
      <t xml:space="preserve">, </t>
    </r>
    <r>
      <rPr>
        <b/>
        <i/>
        <u/>
        <sz val="12"/>
        <color theme="8" tint="-0.249977111117893"/>
        <rFont val="Times New Roman"/>
        <family val="1"/>
      </rPr>
      <t>Klebsiella</t>
    </r>
    <r>
      <rPr>
        <b/>
        <i/>
        <sz val="12"/>
        <color theme="8" tint="-0.249977111117893"/>
        <rFont val="Times New Roman"/>
        <family val="1"/>
      </rPr>
      <t xml:space="preserve"> </t>
    </r>
    <r>
      <rPr>
        <b/>
        <i/>
        <u/>
        <sz val="12"/>
        <color theme="8" tint="-0.249977111117893"/>
        <rFont val="Times New Roman"/>
        <family val="1"/>
      </rPr>
      <t>pneumoniae</t>
    </r>
    <r>
      <rPr>
        <b/>
        <i/>
        <sz val="12"/>
        <color theme="8" tint="-0.249977111117893"/>
        <rFont val="Times New Roman"/>
        <family val="1"/>
      </rPr>
      <t xml:space="preserve">, </t>
    </r>
    <r>
      <rPr>
        <b/>
        <i/>
        <u/>
        <sz val="12"/>
        <color theme="8" tint="-0.249977111117893"/>
        <rFont val="Times New Roman"/>
        <family val="1"/>
      </rPr>
      <t>Acinetobacter</t>
    </r>
    <r>
      <rPr>
        <b/>
        <i/>
        <sz val="12"/>
        <color theme="8" tint="-0.249977111117893"/>
        <rFont val="Times New Roman"/>
        <family val="1"/>
      </rPr>
      <t xml:space="preserve"> </t>
    </r>
    <r>
      <rPr>
        <b/>
        <i/>
        <u/>
        <sz val="12"/>
        <color theme="8" tint="-0.249977111117893"/>
        <rFont val="Times New Roman"/>
        <family val="1"/>
      </rPr>
      <t>baumannii</t>
    </r>
    <r>
      <rPr>
        <b/>
        <i/>
        <sz val="12"/>
        <color theme="8" tint="-0.249977111117893"/>
        <rFont val="Times New Roman"/>
        <family val="1"/>
      </rPr>
      <t xml:space="preserve">, </t>
    </r>
    <r>
      <rPr>
        <b/>
        <i/>
        <u/>
        <sz val="12"/>
        <color theme="8" tint="-0.249977111117893"/>
        <rFont val="Times New Roman"/>
        <family val="1"/>
      </rPr>
      <t>Pseudomonas</t>
    </r>
    <r>
      <rPr>
        <b/>
        <i/>
        <sz val="12"/>
        <color theme="8" tint="-0.249977111117893"/>
        <rFont val="Times New Roman"/>
        <family val="1"/>
      </rPr>
      <t xml:space="preserve"> </t>
    </r>
    <r>
      <rPr>
        <b/>
        <i/>
        <u/>
        <sz val="12"/>
        <color theme="8" tint="-0.249977111117893"/>
        <rFont val="Times New Roman"/>
        <family val="1"/>
      </rPr>
      <t>aeruginosa</t>
    </r>
    <r>
      <rPr>
        <b/>
        <i/>
        <sz val="12"/>
        <color theme="8" tint="-0.249977111117893"/>
        <rFont val="Times New Roman"/>
        <family val="1"/>
      </rPr>
      <t xml:space="preserve">, and </t>
    </r>
    <r>
      <rPr>
        <b/>
        <i/>
        <u/>
        <sz val="12"/>
        <color theme="8" tint="-0.249977111117893"/>
        <rFont val="Times New Roman"/>
        <family val="1"/>
      </rPr>
      <t xml:space="preserve">Enterobacter </t>
    </r>
    <r>
      <rPr>
        <b/>
        <sz val="12"/>
        <color theme="8" tint="-0.249977111117893"/>
        <rFont val="Times New Roman"/>
        <family val="1"/>
      </rPr>
      <t>species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</si>
</sst>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rgb="FFFF0000"/>
      <name val="Liberation Sans"/>
    </font>
    <font>
      <sz val="10"/>
      <name val="Arial"/>
      <family val="2"/>
    </font>
    <font>
      <b/>
      <sz val="10"/>
      <color rgb="FF0066FF"/>
      <name val="Liberation Sans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4"/>
      <name val="Calibri"/>
      <family val="2"/>
    </font>
    <font>
      <b/>
      <sz val="14"/>
      <color rgb="FFFF0000"/>
      <name val="Calibri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66FF"/>
      <name val="Arial"/>
      <family val="2"/>
    </font>
    <font>
      <sz val="14"/>
      <color theme="1"/>
      <name val="Calibri"/>
      <family val="2"/>
    </font>
    <font>
      <b/>
      <i/>
      <sz val="10"/>
      <color theme="1"/>
      <name val="Times New Roman"/>
      <family val="1"/>
    </font>
    <font>
      <b/>
      <sz val="12"/>
      <color rgb="FFC00000"/>
      <name val="Arial"/>
      <family val="2"/>
    </font>
    <font>
      <sz val="12"/>
      <color theme="1"/>
      <name val="Liberation Sans"/>
    </font>
    <font>
      <b/>
      <sz val="10"/>
      <color theme="8" tint="-0.249977111117893"/>
      <name val="Times New Roman"/>
      <family val="1"/>
    </font>
    <font>
      <b/>
      <i/>
      <u/>
      <sz val="12"/>
      <color theme="8" tint="-0.249977111117893"/>
      <name val="Times New Roman"/>
      <family val="1"/>
    </font>
    <font>
      <b/>
      <i/>
      <sz val="12"/>
      <color theme="8" tint="-0.249977111117893"/>
      <name val="Times New Roman"/>
      <family val="1"/>
    </font>
    <font>
      <b/>
      <sz val="10"/>
      <color theme="8" tint="-0.249977111117893"/>
      <name val="Arial"/>
      <family val="2"/>
    </font>
    <font>
      <b/>
      <sz val="12"/>
      <color theme="8" tint="-0.249977111117893"/>
      <name val="Times New Roman"/>
      <family val="1"/>
    </font>
    <font>
      <b/>
      <sz val="10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9F7EF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theme="4"/>
        <bgColor indexed="64"/>
      </patternFill>
    </fill>
    <fill>
      <patternFill patternType="solid">
        <fgColor rgb="FF2E75B6"/>
      </patternFill>
    </fill>
    <fill>
      <patternFill patternType="solid">
        <fgColor rgb="FFEDF4FB"/>
      </patternFill>
    </fill>
    <fill>
      <patternFill patternType="solid">
        <fgColor rgb="FF2C5F8A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43">
    <xf numFmtId="0" fontId="0" fillId="0" borderId="0" xfId="0"/>
    <xf numFmtId="0" fontId="1" fillId="0" borderId="0" xfId="1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11" borderId="0" xfId="0" applyFont="1" applyFill="1"/>
    <xf numFmtId="4" fontId="15" fillId="0" borderId="0" xfId="0" applyNumberFormat="1" applyFont="1"/>
    <xf numFmtId="0" fontId="19" fillId="0" borderId="0" xfId="0" applyFont="1"/>
    <xf numFmtId="0" fontId="19" fillId="0" borderId="0" xfId="11" applyFont="1"/>
    <xf numFmtId="0" fontId="0" fillId="0" borderId="0" xfId="0" applyAlignment="1">
      <alignment wrapText="1"/>
    </xf>
    <xf numFmtId="0" fontId="22" fillId="12" borderId="2" xfId="0" applyFont="1" applyFill="1" applyBorder="1" applyAlignment="1">
      <alignment wrapText="1"/>
    </xf>
    <xf numFmtId="0" fontId="22" fillId="12" borderId="2" xfId="11" applyFont="1" applyFill="1" applyBorder="1" applyAlignment="1">
      <alignment wrapText="1"/>
    </xf>
    <xf numFmtId="0" fontId="23" fillId="13" borderId="2" xfId="0" applyFont="1" applyFill="1" applyBorder="1" applyAlignment="1">
      <alignment horizontal="center" vertical="center" wrapText="1"/>
    </xf>
    <xf numFmtId="0" fontId="24" fillId="0" borderId="2" xfId="0" applyFont="1" applyBorder="1"/>
    <xf numFmtId="0" fontId="24" fillId="0" borderId="2" xfId="11" applyFont="1" applyBorder="1"/>
    <xf numFmtId="49" fontId="24" fillId="0" borderId="2" xfId="11" applyNumberFormat="1" applyFont="1" applyBorder="1"/>
    <xf numFmtId="0" fontId="25" fillId="10" borderId="2" xfId="0" applyFont="1" applyFill="1" applyBorder="1" applyAlignment="1">
      <alignment horizontal="left" vertical="center"/>
    </xf>
    <xf numFmtId="0" fontId="25" fillId="0" borderId="2" xfId="11" applyFont="1" applyBorder="1"/>
    <xf numFmtId="0" fontId="25" fillId="9" borderId="2" xfId="0" applyFont="1" applyFill="1" applyBorder="1" applyAlignment="1">
      <alignment horizontal="left" vertical="center"/>
    </xf>
    <xf numFmtId="0" fontId="26" fillId="0" borderId="2" xfId="0" applyFont="1" applyBorder="1"/>
    <xf numFmtId="0" fontId="26" fillId="0" borderId="2" xfId="11" applyFont="1" applyBorder="1"/>
    <xf numFmtId="49" fontId="26" fillId="0" borderId="2" xfId="11" applyNumberFormat="1" applyFont="1" applyBorder="1"/>
    <xf numFmtId="0" fontId="27" fillId="0" borderId="0" xfId="0" applyFont="1"/>
    <xf numFmtId="0" fontId="24" fillId="10" borderId="2" xfId="0" applyFont="1" applyFill="1" applyBorder="1" applyAlignment="1">
      <alignment horizontal="left" vertical="center"/>
    </xf>
    <xf numFmtId="0" fontId="29" fillId="0" borderId="0" xfId="11" applyFont="1"/>
    <xf numFmtId="0" fontId="24" fillId="0" borderId="0" xfId="0" applyFont="1"/>
    <xf numFmtId="0" fontId="24" fillId="0" borderId="0" xfId="11" applyFont="1"/>
    <xf numFmtId="0" fontId="30" fillId="0" borderId="0" xfId="11" applyFont="1"/>
    <xf numFmtId="0" fontId="31" fillId="0" borderId="0" xfId="0" applyFont="1"/>
    <xf numFmtId="0" fontId="23" fillId="15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1" fillId="14" borderId="2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left" vertical="center"/>
    </xf>
    <xf numFmtId="0" fontId="28" fillId="14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1" fillId="14" borderId="2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left" vertical="center"/>
    </xf>
    <xf numFmtId="0" fontId="32" fillId="0" borderId="0" xfId="11" applyFont="1"/>
    <xf numFmtId="0" fontId="33" fillId="0" borderId="0" xfId="0" applyFont="1"/>
    <xf numFmtId="0" fontId="34" fillId="0" borderId="0" xfId="0" applyFont="1"/>
    <xf numFmtId="0" fontId="35" fillId="0" borderId="0" xfId="11" applyFont="1"/>
    <xf numFmtId="9" fontId="37" fillId="0" borderId="0" xfId="11" applyNumberFormat="1" applyFont="1"/>
  </cellXfs>
  <cellStyles count="20">
    <cellStyle name="Accent" xfId="7" xr:uid="{0421002B-0CAD-49AC-A162-D1FC65EF6239}"/>
    <cellStyle name="Accent 1" xfId="8" xr:uid="{CC222EC7-70F5-4D81-A432-A01D210FD2FD}"/>
    <cellStyle name="Accent 2" xfId="9" xr:uid="{0EEC9D1D-D2B6-44D4-9520-AF5395F85B69}"/>
    <cellStyle name="Accent 3" xfId="10" xr:uid="{A0FEF99A-7669-45C5-AD7C-1B161EEF0A79}"/>
    <cellStyle name="Bad" xfId="4" builtinId="27" customBuiltin="1"/>
    <cellStyle name="Default" xfId="11" xr:uid="{5F18DAFE-9B01-4871-86E0-FFE90F956214}"/>
    <cellStyle name="Error" xfId="12" xr:uid="{2E8E07A7-2FFB-4486-9A24-801D956E9CD1}"/>
    <cellStyle name="Footnote" xfId="13" xr:uid="{B04A01BB-7D6F-4911-8FAB-CB21EC5072C6}"/>
    <cellStyle name="Good" xfId="3" builtinId="26" customBuiltin="1"/>
    <cellStyle name="Heading" xfId="14" xr:uid="{C454C94A-D074-4485-A870-873D9766D156}"/>
    <cellStyle name="Heading 1" xfId="1" builtinId="16" customBuiltin="1"/>
    <cellStyle name="Heading 2" xfId="2" builtinId="17" customBuiltin="1"/>
    <cellStyle name="Hyperlink" xfId="15" xr:uid="{642EE9EB-F87F-46F5-BE96-FF9B565397C4}"/>
    <cellStyle name="Neutral" xfId="5" builtinId="28" customBuiltin="1"/>
    <cellStyle name="Normal" xfId="0" builtinId="0" customBuiltin="1"/>
    <cellStyle name="Note" xfId="6" builtinId="10" customBuiltin="1"/>
    <cellStyle name="Result" xfId="16" xr:uid="{EA80699B-0C99-4D5B-8A74-35DE26F30A20}"/>
    <cellStyle name="Status" xfId="17" xr:uid="{DCBCC867-246F-4F4C-9AB1-8DB123F892A3}"/>
    <cellStyle name="Text" xfId="18" xr:uid="{957FEDA3-AC5A-428B-AF40-EDA00D24E34E}"/>
    <cellStyle name="Warning" xfId="19" xr:uid="{926729C0-3702-4397-8B75-03BE5748110D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0E63-43DA-46DA-8F0F-A0766C0D5D97}">
  <dimension ref="A2:P67"/>
  <sheetViews>
    <sheetView tabSelected="1" workbookViewId="0">
      <selection activeCell="A2" sqref="A2"/>
    </sheetView>
  </sheetViews>
  <sheetFormatPr defaultRowHeight="12.75"/>
  <cols>
    <col min="2" max="2" width="18.73046875" customWidth="1"/>
    <col min="3" max="3" width="22.6640625" customWidth="1"/>
    <col min="4" max="4" width="27.53125" customWidth="1"/>
    <col min="5" max="5" width="41.19921875" customWidth="1"/>
    <col min="6" max="6" width="11.6640625" customWidth="1"/>
    <col min="7" max="7" width="11.1328125" customWidth="1"/>
    <col min="8" max="8" width="16.6640625" customWidth="1"/>
    <col min="9" max="9" width="9.33203125" customWidth="1"/>
    <col min="10" max="10" width="14.19921875" customWidth="1"/>
    <col min="11" max="11" width="10.9296875" customWidth="1"/>
    <col min="12" max="12" width="11.73046875" customWidth="1"/>
    <col min="13" max="13" width="16.265625" customWidth="1"/>
    <col min="14" max="15" width="27.53125" customWidth="1"/>
    <col min="16" max="16" width="10.19921875" customWidth="1"/>
  </cols>
  <sheetData>
    <row r="2" spans="1:16" s="3" customFormat="1" ht="15">
      <c r="A2" s="22"/>
      <c r="B2" s="22"/>
      <c r="C2" s="22" t="s">
        <v>201</v>
      </c>
      <c r="D2" s="22" t="s">
        <v>202</v>
      </c>
      <c r="G2" s="22"/>
      <c r="H2" s="22"/>
      <c r="J2" s="22"/>
      <c r="K2" s="22"/>
      <c r="L2" s="22"/>
      <c r="M2" s="22"/>
      <c r="N2" s="22"/>
      <c r="O2" s="22"/>
      <c r="P2" s="22"/>
    </row>
    <row r="3" spans="1:16" s="9" customFormat="1" ht="30">
      <c r="A3" s="10" t="s">
        <v>177</v>
      </c>
      <c r="B3" s="11" t="s">
        <v>0</v>
      </c>
      <c r="C3" s="11" t="s">
        <v>196</v>
      </c>
      <c r="D3" s="11" t="s">
        <v>197</v>
      </c>
      <c r="E3" s="11" t="s">
        <v>195</v>
      </c>
      <c r="F3" s="12" t="s">
        <v>178</v>
      </c>
      <c r="G3" s="12" t="s">
        <v>179</v>
      </c>
      <c r="H3" s="12" t="s">
        <v>180</v>
      </c>
      <c r="I3" s="12" t="s">
        <v>173</v>
      </c>
      <c r="J3" s="12" t="s">
        <v>181</v>
      </c>
      <c r="K3" s="12" t="s">
        <v>182</v>
      </c>
      <c r="L3" s="11" t="s">
        <v>1</v>
      </c>
      <c r="M3" s="11" t="s">
        <v>186</v>
      </c>
      <c r="N3" s="11" t="s">
        <v>200</v>
      </c>
      <c r="O3" s="29" t="s">
        <v>209</v>
      </c>
      <c r="P3" s="11" t="s">
        <v>2</v>
      </c>
    </row>
    <row r="4" spans="1:16" ht="18">
      <c r="A4" s="13">
        <v>1</v>
      </c>
      <c r="B4" s="14" t="s">
        <v>3</v>
      </c>
      <c r="C4" s="14" t="s">
        <v>6</v>
      </c>
      <c r="D4" s="14" t="s">
        <v>7</v>
      </c>
      <c r="E4" s="30" t="s">
        <v>7</v>
      </c>
      <c r="F4" s="14">
        <v>107.82599999999999</v>
      </c>
      <c r="G4" s="14">
        <v>5.4290000000000003</v>
      </c>
      <c r="H4" s="14">
        <v>659856</v>
      </c>
      <c r="I4" s="14">
        <v>145.69999999999999</v>
      </c>
      <c r="J4" s="14">
        <v>0</v>
      </c>
      <c r="K4" s="14">
        <v>0</v>
      </c>
      <c r="L4" s="14" t="s">
        <v>4</v>
      </c>
      <c r="M4" s="15" t="s">
        <v>5</v>
      </c>
      <c r="N4" s="16" t="s">
        <v>7</v>
      </c>
      <c r="O4" s="25" t="s">
        <v>203</v>
      </c>
      <c r="P4" s="14" t="s">
        <v>8</v>
      </c>
    </row>
    <row r="5" spans="1:16" ht="18">
      <c r="A5" s="13">
        <v>2</v>
      </c>
      <c r="B5" s="17" t="s">
        <v>9</v>
      </c>
      <c r="C5" s="14" t="s">
        <v>12</v>
      </c>
      <c r="D5" s="14" t="s">
        <v>13</v>
      </c>
      <c r="E5" s="31" t="s">
        <v>193</v>
      </c>
      <c r="F5" s="14">
        <v>25.597999999999999</v>
      </c>
      <c r="G5" s="14">
        <v>3.7109999999999999</v>
      </c>
      <c r="H5" s="14">
        <v>280860</v>
      </c>
      <c r="I5" s="14">
        <v>176.5</v>
      </c>
      <c r="J5" s="14">
        <v>0</v>
      </c>
      <c r="K5" s="14">
        <v>0</v>
      </c>
      <c r="L5" s="14" t="s">
        <v>10</v>
      </c>
      <c r="M5" s="15" t="s">
        <v>11</v>
      </c>
      <c r="N5" s="18" t="s">
        <v>162</v>
      </c>
      <c r="O5" s="25" t="s">
        <v>204</v>
      </c>
      <c r="P5" s="14" t="s">
        <v>8</v>
      </c>
    </row>
    <row r="6" spans="1:16" ht="18">
      <c r="A6" s="13">
        <v>3</v>
      </c>
      <c r="B6" s="17" t="s">
        <v>14</v>
      </c>
      <c r="C6" s="14" t="s">
        <v>12</v>
      </c>
      <c r="D6" s="14" t="s">
        <v>13</v>
      </c>
      <c r="E6" s="30" t="s">
        <v>194</v>
      </c>
      <c r="F6" s="14">
        <v>21.997</v>
      </c>
      <c r="G6" s="14">
        <v>3.6110000000000002</v>
      </c>
      <c r="H6" s="14">
        <v>288980</v>
      </c>
      <c r="I6" s="14">
        <v>179.5</v>
      </c>
      <c r="J6" s="14">
        <v>0</v>
      </c>
      <c r="K6" s="14">
        <v>0</v>
      </c>
      <c r="L6" s="14" t="s">
        <v>15</v>
      </c>
      <c r="M6" s="15" t="s">
        <v>16</v>
      </c>
      <c r="N6" s="16" t="s">
        <v>163</v>
      </c>
      <c r="O6" s="25" t="s">
        <v>205</v>
      </c>
      <c r="P6" s="14" t="s">
        <v>8</v>
      </c>
    </row>
    <row r="7" spans="1:16" ht="18">
      <c r="A7" s="13">
        <v>4</v>
      </c>
      <c r="B7" s="14" t="s">
        <v>17</v>
      </c>
      <c r="C7" s="14" t="s">
        <v>6</v>
      </c>
      <c r="D7" s="14" t="s">
        <v>20</v>
      </c>
      <c r="E7" s="31" t="s">
        <v>20</v>
      </c>
      <c r="F7" s="14">
        <v>331.363</v>
      </c>
      <c r="G7" s="14">
        <v>202.672</v>
      </c>
      <c r="H7" s="14">
        <v>2221372</v>
      </c>
      <c r="I7" s="14">
        <v>100.7</v>
      </c>
      <c r="J7" s="14">
        <v>0</v>
      </c>
      <c r="K7" s="14">
        <v>0</v>
      </c>
      <c r="L7" s="14" t="s">
        <v>18</v>
      </c>
      <c r="M7" s="15" t="s">
        <v>19</v>
      </c>
      <c r="N7" s="18" t="s">
        <v>20</v>
      </c>
      <c r="O7" s="25" t="s">
        <v>20</v>
      </c>
      <c r="P7" s="14" t="s">
        <v>8</v>
      </c>
    </row>
    <row r="8" spans="1:16" ht="18">
      <c r="A8" s="13">
        <v>5</v>
      </c>
      <c r="B8" s="14" t="s">
        <v>21</v>
      </c>
      <c r="C8" s="14" t="s">
        <v>6</v>
      </c>
      <c r="D8" s="14" t="s">
        <v>24</v>
      </c>
      <c r="E8" s="30" t="s">
        <v>24</v>
      </c>
      <c r="F8" s="14">
        <v>154.83699999999999</v>
      </c>
      <c r="G8" s="14">
        <v>98.090999999999994</v>
      </c>
      <c r="H8" s="14">
        <v>954796</v>
      </c>
      <c r="I8" s="14">
        <v>101.8</v>
      </c>
      <c r="J8" s="14">
        <v>0</v>
      </c>
      <c r="K8" s="14">
        <v>0</v>
      </c>
      <c r="L8" s="14" t="s">
        <v>22</v>
      </c>
      <c r="M8" s="15" t="s">
        <v>23</v>
      </c>
      <c r="N8" s="16" t="s">
        <v>24</v>
      </c>
      <c r="O8" s="25" t="s">
        <v>24</v>
      </c>
      <c r="P8" s="14" t="s">
        <v>8</v>
      </c>
    </row>
    <row r="9" spans="1:16" ht="18">
      <c r="A9" s="13">
        <v>6</v>
      </c>
      <c r="B9" s="14" t="s">
        <v>25</v>
      </c>
      <c r="C9" s="14" t="s">
        <v>6</v>
      </c>
      <c r="D9" s="14" t="s">
        <v>24</v>
      </c>
      <c r="E9" s="31" t="s">
        <v>24</v>
      </c>
      <c r="F9" s="14">
        <v>582.49099999999999</v>
      </c>
      <c r="G9" s="14">
        <v>356.50599999999997</v>
      </c>
      <c r="H9" s="14">
        <v>3826904</v>
      </c>
      <c r="I9" s="14">
        <v>100.5</v>
      </c>
      <c r="J9" s="14">
        <v>0</v>
      </c>
      <c r="K9" s="14">
        <v>0</v>
      </c>
      <c r="L9" s="14" t="s">
        <v>26</v>
      </c>
      <c r="M9" s="15" t="s">
        <v>27</v>
      </c>
      <c r="N9" s="18" t="s">
        <v>24</v>
      </c>
      <c r="O9" s="25" t="s">
        <v>24</v>
      </c>
      <c r="P9" s="14" t="s">
        <v>8</v>
      </c>
    </row>
    <row r="10" spans="1:16" ht="18">
      <c r="A10" s="13">
        <v>7</v>
      </c>
      <c r="B10" s="14" t="s">
        <v>28</v>
      </c>
      <c r="C10" s="14" t="s">
        <v>12</v>
      </c>
      <c r="D10" s="14" t="s">
        <v>13</v>
      </c>
      <c r="E10" s="30" t="s">
        <v>187</v>
      </c>
      <c r="F10" s="14">
        <v>324.904</v>
      </c>
      <c r="G10" s="14">
        <v>216.577</v>
      </c>
      <c r="H10" s="14">
        <v>3197328</v>
      </c>
      <c r="I10" s="14">
        <v>100.8</v>
      </c>
      <c r="J10" s="14">
        <v>0</v>
      </c>
      <c r="K10" s="14">
        <v>0</v>
      </c>
      <c r="L10" s="14" t="s">
        <v>26</v>
      </c>
      <c r="M10" s="15" t="s">
        <v>29</v>
      </c>
      <c r="N10" s="16" t="s">
        <v>161</v>
      </c>
      <c r="O10" s="25" t="s">
        <v>187</v>
      </c>
      <c r="P10" s="14" t="s">
        <v>8</v>
      </c>
    </row>
    <row r="11" spans="1:16" ht="18">
      <c r="A11" s="13">
        <v>8</v>
      </c>
      <c r="B11" s="14" t="s">
        <v>30</v>
      </c>
      <c r="C11" s="14" t="s">
        <v>12</v>
      </c>
      <c r="D11" s="14" t="s">
        <v>13</v>
      </c>
      <c r="E11" s="31" t="s">
        <v>187</v>
      </c>
      <c r="F11" s="14">
        <v>5.431</v>
      </c>
      <c r="G11" s="14">
        <v>7.8230000000000004</v>
      </c>
      <c r="H11" s="14">
        <v>281336</v>
      </c>
      <c r="I11" s="14">
        <v>122</v>
      </c>
      <c r="J11" s="14">
        <v>0</v>
      </c>
      <c r="K11" s="14">
        <v>0</v>
      </c>
      <c r="L11" s="14" t="s">
        <v>31</v>
      </c>
      <c r="M11" s="15" t="s">
        <v>32</v>
      </c>
      <c r="N11" s="18" t="s">
        <v>164</v>
      </c>
      <c r="O11" s="25" t="s">
        <v>187</v>
      </c>
      <c r="P11" s="14" t="s">
        <v>8</v>
      </c>
    </row>
    <row r="12" spans="1:16" ht="18">
      <c r="A12" s="13">
        <v>9</v>
      </c>
      <c r="B12" s="14" t="s">
        <v>33</v>
      </c>
      <c r="C12" s="14" t="s">
        <v>12</v>
      </c>
      <c r="D12" s="14" t="s">
        <v>13</v>
      </c>
      <c r="E12" s="30" t="s">
        <v>187</v>
      </c>
      <c r="F12" s="14">
        <v>234.38399999999999</v>
      </c>
      <c r="G12" s="14">
        <v>160.572</v>
      </c>
      <c r="H12" s="14">
        <v>2349600</v>
      </c>
      <c r="I12" s="14">
        <v>101.1</v>
      </c>
      <c r="J12" s="14">
        <v>0</v>
      </c>
      <c r="K12" s="14">
        <v>0</v>
      </c>
      <c r="L12" s="14" t="s">
        <v>34</v>
      </c>
      <c r="M12" s="15" t="s">
        <v>35</v>
      </c>
      <c r="N12" s="16" t="s">
        <v>161</v>
      </c>
      <c r="O12" s="25" t="s">
        <v>187</v>
      </c>
      <c r="P12" s="14" t="s">
        <v>8</v>
      </c>
    </row>
    <row r="13" spans="1:16" ht="18">
      <c r="A13" s="13">
        <v>10</v>
      </c>
      <c r="B13" s="14" t="s">
        <v>36</v>
      </c>
      <c r="C13" s="14" t="s">
        <v>6</v>
      </c>
      <c r="D13" s="14" t="s">
        <v>20</v>
      </c>
      <c r="E13" s="31" t="s">
        <v>20</v>
      </c>
      <c r="F13" s="14">
        <v>393.84500000000003</v>
      </c>
      <c r="G13" s="14">
        <v>261.524</v>
      </c>
      <c r="H13" s="14">
        <v>2715980</v>
      </c>
      <c r="I13" s="14">
        <v>100.6</v>
      </c>
      <c r="J13" s="14">
        <v>0</v>
      </c>
      <c r="K13" s="14">
        <v>0</v>
      </c>
      <c r="L13" s="14" t="s">
        <v>26</v>
      </c>
      <c r="M13" s="15" t="s">
        <v>37</v>
      </c>
      <c r="N13" s="18" t="s">
        <v>20</v>
      </c>
      <c r="O13" s="25" t="s">
        <v>20</v>
      </c>
      <c r="P13" s="14" t="s">
        <v>8</v>
      </c>
    </row>
    <row r="14" spans="1:16" ht="18">
      <c r="A14" s="13">
        <v>11</v>
      </c>
      <c r="B14" s="14" t="s">
        <v>38</v>
      </c>
      <c r="C14" s="14" t="s">
        <v>6</v>
      </c>
      <c r="D14" s="14" t="s">
        <v>20</v>
      </c>
      <c r="E14" s="30" t="s">
        <v>20</v>
      </c>
      <c r="F14" s="14">
        <v>62.878999999999998</v>
      </c>
      <c r="G14" s="14">
        <v>37.777000000000001</v>
      </c>
      <c r="H14" s="14">
        <v>424036</v>
      </c>
      <c r="I14" s="14">
        <v>104.7</v>
      </c>
      <c r="J14" s="14">
        <v>0</v>
      </c>
      <c r="K14" s="14">
        <v>0</v>
      </c>
      <c r="L14" s="14" t="s">
        <v>39</v>
      </c>
      <c r="M14" s="15" t="s">
        <v>40</v>
      </c>
      <c r="N14" s="16" t="s">
        <v>20</v>
      </c>
      <c r="O14" s="25" t="s">
        <v>20</v>
      </c>
      <c r="P14" s="14" t="s">
        <v>8</v>
      </c>
    </row>
    <row r="15" spans="1:16" ht="18">
      <c r="A15" s="13">
        <v>12</v>
      </c>
      <c r="B15" s="14" t="s">
        <v>41</v>
      </c>
      <c r="C15" s="14" t="s">
        <v>6</v>
      </c>
      <c r="D15" s="14" t="s">
        <v>20</v>
      </c>
      <c r="E15" s="31" t="s">
        <v>20</v>
      </c>
      <c r="F15" s="14">
        <v>76.010999999999996</v>
      </c>
      <c r="G15" s="14">
        <v>44.58</v>
      </c>
      <c r="H15" s="14">
        <v>382368</v>
      </c>
      <c r="I15" s="14">
        <v>103.9</v>
      </c>
      <c r="J15" s="14">
        <v>0</v>
      </c>
      <c r="K15" s="14">
        <v>0</v>
      </c>
      <c r="L15" s="14" t="s">
        <v>42</v>
      </c>
      <c r="M15" s="15" t="s">
        <v>43</v>
      </c>
      <c r="N15" s="18" t="s">
        <v>20</v>
      </c>
      <c r="O15" s="25" t="s">
        <v>20</v>
      </c>
      <c r="P15" s="14" t="s">
        <v>8</v>
      </c>
    </row>
    <row r="16" spans="1:16" ht="18">
      <c r="A16" s="13">
        <v>13</v>
      </c>
      <c r="B16" s="14" t="s">
        <v>44</v>
      </c>
      <c r="C16" s="14" t="s">
        <v>6</v>
      </c>
      <c r="D16" s="14" t="s">
        <v>20</v>
      </c>
      <c r="E16" s="30" t="s">
        <v>20</v>
      </c>
      <c r="F16" s="14">
        <v>72.632999999999996</v>
      </c>
      <c r="G16" s="14">
        <v>43.481000000000002</v>
      </c>
      <c r="H16" s="14">
        <v>451112</v>
      </c>
      <c r="I16" s="14">
        <v>104</v>
      </c>
      <c r="J16" s="14">
        <v>0</v>
      </c>
      <c r="K16" s="14">
        <v>0</v>
      </c>
      <c r="L16" s="14" t="s">
        <v>45</v>
      </c>
      <c r="M16" s="15" t="s">
        <v>46</v>
      </c>
      <c r="N16" s="16" t="s">
        <v>20</v>
      </c>
      <c r="O16" s="25" t="s">
        <v>20</v>
      </c>
      <c r="P16" s="14" t="s">
        <v>8</v>
      </c>
    </row>
    <row r="17" spans="1:16" s="2" customFormat="1" ht="36">
      <c r="A17" s="19">
        <v>14</v>
      </c>
      <c r="B17" s="20" t="s">
        <v>47</v>
      </c>
      <c r="C17" s="20" t="s">
        <v>12</v>
      </c>
      <c r="D17" s="20" t="s">
        <v>13</v>
      </c>
      <c r="E17" s="32" t="s">
        <v>188</v>
      </c>
      <c r="F17" s="20">
        <v>22.132999999999999</v>
      </c>
      <c r="G17" s="20">
        <v>3.512</v>
      </c>
      <c r="H17" s="20">
        <v>321516</v>
      </c>
      <c r="I17" s="20">
        <v>182.4</v>
      </c>
      <c r="J17" s="20">
        <v>0</v>
      </c>
      <c r="K17" s="20">
        <v>0</v>
      </c>
      <c r="L17" s="20" t="s">
        <v>48</v>
      </c>
      <c r="M17" s="21" t="s">
        <v>49</v>
      </c>
      <c r="N17" s="37" t="s">
        <v>165</v>
      </c>
      <c r="O17" s="25" t="s">
        <v>206</v>
      </c>
      <c r="P17" s="20" t="s">
        <v>8</v>
      </c>
    </row>
    <row r="18" spans="1:16" ht="18">
      <c r="A18" s="13">
        <v>15</v>
      </c>
      <c r="B18" s="14" t="s">
        <v>50</v>
      </c>
      <c r="C18" s="14" t="s">
        <v>12</v>
      </c>
      <c r="D18" s="14" t="s">
        <v>13</v>
      </c>
      <c r="E18" s="30" t="s">
        <v>187</v>
      </c>
      <c r="F18" s="14">
        <v>116.718</v>
      </c>
      <c r="G18" s="14">
        <v>66.915999999999997</v>
      </c>
      <c r="H18" s="14">
        <v>709968</v>
      </c>
      <c r="I18" s="14">
        <v>102.7</v>
      </c>
      <c r="J18" s="14">
        <v>0</v>
      </c>
      <c r="K18" s="14">
        <v>0</v>
      </c>
      <c r="L18" s="14" t="s">
        <v>51</v>
      </c>
      <c r="M18" s="15" t="s">
        <v>5</v>
      </c>
      <c r="N18" s="16" t="s">
        <v>161</v>
      </c>
      <c r="O18" s="25" t="s">
        <v>187</v>
      </c>
      <c r="P18" s="14" t="s">
        <v>8</v>
      </c>
    </row>
    <row r="19" spans="1:16" ht="18">
      <c r="A19" s="13">
        <v>16</v>
      </c>
      <c r="B19" s="14" t="s">
        <v>52</v>
      </c>
      <c r="C19" s="14" t="s">
        <v>6</v>
      </c>
      <c r="D19" s="14" t="s">
        <v>55</v>
      </c>
      <c r="E19" s="31" t="s">
        <v>55</v>
      </c>
      <c r="F19" s="14">
        <v>255.078</v>
      </c>
      <c r="G19" s="14">
        <v>132.12899999999999</v>
      </c>
      <c r="H19" s="14">
        <v>1373052</v>
      </c>
      <c r="I19" s="14">
        <v>101.3</v>
      </c>
      <c r="J19" s="14">
        <v>0</v>
      </c>
      <c r="K19" s="14">
        <v>0</v>
      </c>
      <c r="L19" s="14" t="s">
        <v>53</v>
      </c>
      <c r="M19" s="15" t="s">
        <v>54</v>
      </c>
      <c r="N19" s="18" t="s">
        <v>55</v>
      </c>
      <c r="O19" s="25" t="s">
        <v>55</v>
      </c>
      <c r="P19" s="14" t="s">
        <v>8</v>
      </c>
    </row>
    <row r="20" spans="1:16" ht="18">
      <c r="A20" s="13">
        <v>17</v>
      </c>
      <c r="B20" s="14" t="s">
        <v>56</v>
      </c>
      <c r="C20" s="14" t="s">
        <v>6</v>
      </c>
      <c r="D20" s="14" t="s">
        <v>59</v>
      </c>
      <c r="E20" s="30" t="s">
        <v>59</v>
      </c>
      <c r="F20" s="14">
        <v>208.17599999999999</v>
      </c>
      <c r="G20" s="14">
        <v>123.407</v>
      </c>
      <c r="H20" s="14">
        <v>1201292</v>
      </c>
      <c r="I20" s="14">
        <v>101.4</v>
      </c>
      <c r="J20" s="14">
        <v>0</v>
      </c>
      <c r="K20" s="14">
        <v>0</v>
      </c>
      <c r="L20" s="14" t="s">
        <v>57</v>
      </c>
      <c r="M20" s="15" t="s">
        <v>58</v>
      </c>
      <c r="N20" s="16" t="s">
        <v>59</v>
      </c>
      <c r="O20" s="25" t="s">
        <v>59</v>
      </c>
      <c r="P20" s="14" t="s">
        <v>8</v>
      </c>
    </row>
    <row r="21" spans="1:16" ht="18">
      <c r="A21" s="13">
        <v>18</v>
      </c>
      <c r="B21" s="14" t="s">
        <v>60</v>
      </c>
      <c r="C21" s="14" t="s">
        <v>6</v>
      </c>
      <c r="D21" s="14" t="s">
        <v>59</v>
      </c>
      <c r="E21" s="31" t="s">
        <v>59</v>
      </c>
      <c r="F21" s="14">
        <v>313.459</v>
      </c>
      <c r="G21" s="14">
        <v>198.14</v>
      </c>
      <c r="H21" s="14">
        <v>1947872</v>
      </c>
      <c r="I21" s="14">
        <v>100.9</v>
      </c>
      <c r="J21" s="14">
        <v>0</v>
      </c>
      <c r="K21" s="14">
        <v>0</v>
      </c>
      <c r="L21" s="14" t="s">
        <v>61</v>
      </c>
      <c r="M21" s="15" t="s">
        <v>62</v>
      </c>
      <c r="N21" s="18" t="s">
        <v>59</v>
      </c>
      <c r="O21" s="25" t="s">
        <v>59</v>
      </c>
      <c r="P21" s="14" t="s">
        <v>8</v>
      </c>
    </row>
    <row r="22" spans="1:16" ht="18">
      <c r="A22" s="13">
        <v>19</v>
      </c>
      <c r="B22" s="14" t="s">
        <v>63</v>
      </c>
      <c r="C22" s="14" t="s">
        <v>6</v>
      </c>
      <c r="D22" s="14" t="s">
        <v>55</v>
      </c>
      <c r="E22" s="30" t="s">
        <v>55</v>
      </c>
      <c r="F22" s="14">
        <v>43.933</v>
      </c>
      <c r="G22" s="14">
        <v>13.935</v>
      </c>
      <c r="H22" s="14">
        <v>331512</v>
      </c>
      <c r="I22" s="14">
        <v>113.1</v>
      </c>
      <c r="J22" s="14">
        <v>0</v>
      </c>
      <c r="K22" s="14">
        <v>0</v>
      </c>
      <c r="L22" s="14" t="s">
        <v>64</v>
      </c>
      <c r="M22" s="15" t="s">
        <v>65</v>
      </c>
      <c r="N22" s="16" t="s">
        <v>166</v>
      </c>
      <c r="O22" s="25" t="s">
        <v>55</v>
      </c>
      <c r="P22" s="14" t="s">
        <v>8</v>
      </c>
    </row>
    <row r="23" spans="1:16" ht="18">
      <c r="A23" s="13">
        <v>20</v>
      </c>
      <c r="B23" s="14" t="s">
        <v>66</v>
      </c>
      <c r="C23" s="14" t="s">
        <v>6</v>
      </c>
      <c r="D23" s="14" t="s">
        <v>69</v>
      </c>
      <c r="E23" s="31" t="s">
        <v>69</v>
      </c>
      <c r="F23" s="14">
        <v>286.84899999999999</v>
      </c>
      <c r="G23" s="14">
        <v>144.34899999999999</v>
      </c>
      <c r="H23" s="14">
        <v>1461604</v>
      </c>
      <c r="I23" s="14">
        <v>101.2</v>
      </c>
      <c r="J23" s="14">
        <v>0</v>
      </c>
      <c r="K23" s="14">
        <v>0</v>
      </c>
      <c r="L23" s="14" t="s">
        <v>67</v>
      </c>
      <c r="M23" s="15" t="s">
        <v>68</v>
      </c>
      <c r="N23" s="37" t="s">
        <v>155</v>
      </c>
      <c r="O23" s="25" t="s">
        <v>69</v>
      </c>
      <c r="P23" s="14" t="s">
        <v>8</v>
      </c>
    </row>
    <row r="24" spans="1:16" ht="18">
      <c r="A24" s="13">
        <v>21</v>
      </c>
      <c r="B24" s="14" t="s">
        <v>70</v>
      </c>
      <c r="C24" s="14" t="s">
        <v>6</v>
      </c>
      <c r="D24" s="14" t="s">
        <v>24</v>
      </c>
      <c r="E24" s="30" t="s">
        <v>24</v>
      </c>
      <c r="F24" s="14">
        <v>225.80199999999999</v>
      </c>
      <c r="G24" s="14">
        <v>130.625</v>
      </c>
      <c r="H24" s="14">
        <v>1314508</v>
      </c>
      <c r="I24" s="14">
        <v>101.4</v>
      </c>
      <c r="J24" s="14">
        <v>0</v>
      </c>
      <c r="K24" s="14">
        <v>0</v>
      </c>
      <c r="L24" s="14" t="s">
        <v>71</v>
      </c>
      <c r="M24" s="15" t="s">
        <v>72</v>
      </c>
      <c r="N24" s="16" t="s">
        <v>24</v>
      </c>
      <c r="O24" s="25" t="s">
        <v>24</v>
      </c>
      <c r="P24" s="14" t="s">
        <v>8</v>
      </c>
    </row>
    <row r="25" spans="1:16" ht="18">
      <c r="A25" s="13">
        <v>22</v>
      </c>
      <c r="B25" s="14" t="s">
        <v>73</v>
      </c>
      <c r="C25" s="14" t="s">
        <v>6</v>
      </c>
      <c r="D25" s="14" t="s">
        <v>24</v>
      </c>
      <c r="E25" s="31" t="s">
        <v>24</v>
      </c>
      <c r="F25" s="14">
        <v>439.17599999999999</v>
      </c>
      <c r="G25" s="14">
        <v>251.72</v>
      </c>
      <c r="H25" s="14">
        <v>2528884</v>
      </c>
      <c r="I25" s="14">
        <v>100.7</v>
      </c>
      <c r="J25" s="14">
        <v>0</v>
      </c>
      <c r="K25" s="14">
        <v>0</v>
      </c>
      <c r="L25" s="14" t="s">
        <v>26</v>
      </c>
      <c r="M25" s="15" t="s">
        <v>74</v>
      </c>
      <c r="N25" s="18" t="s">
        <v>24</v>
      </c>
      <c r="O25" s="25" t="s">
        <v>24</v>
      </c>
      <c r="P25" s="14" t="s">
        <v>8</v>
      </c>
    </row>
    <row r="26" spans="1:16" s="2" customFormat="1" ht="18">
      <c r="A26" s="19">
        <v>23</v>
      </c>
      <c r="B26" s="20" t="s">
        <v>75</v>
      </c>
      <c r="C26" s="20" t="s">
        <v>12</v>
      </c>
      <c r="D26" s="20" t="s">
        <v>13</v>
      </c>
      <c r="E26" s="33" t="s">
        <v>24</v>
      </c>
      <c r="F26" s="20">
        <v>5.258</v>
      </c>
      <c r="G26" s="20">
        <v>9.0259999999999998</v>
      </c>
      <c r="H26" s="20">
        <v>355268</v>
      </c>
      <c r="I26" s="20">
        <v>120.1</v>
      </c>
      <c r="J26" s="20">
        <v>0</v>
      </c>
      <c r="K26" s="20">
        <v>0</v>
      </c>
      <c r="L26" s="20" t="s">
        <v>76</v>
      </c>
      <c r="M26" s="21" t="s">
        <v>77</v>
      </c>
      <c r="N26" s="23" t="s">
        <v>167</v>
      </c>
      <c r="O26" s="25" t="s">
        <v>24</v>
      </c>
      <c r="P26" s="20" t="s">
        <v>8</v>
      </c>
    </row>
    <row r="27" spans="1:16" ht="18">
      <c r="A27" s="13">
        <v>24</v>
      </c>
      <c r="B27" s="14" t="s">
        <v>78</v>
      </c>
      <c r="C27" s="14" t="s">
        <v>6</v>
      </c>
      <c r="D27" s="14" t="s">
        <v>20</v>
      </c>
      <c r="E27" s="31" t="s">
        <v>20</v>
      </c>
      <c r="F27" s="14">
        <v>192.642</v>
      </c>
      <c r="G27" s="14">
        <v>111.389</v>
      </c>
      <c r="H27" s="14">
        <v>1192344</v>
      </c>
      <c r="I27" s="14">
        <v>101.6</v>
      </c>
      <c r="J27" s="14">
        <v>0</v>
      </c>
      <c r="K27" s="14">
        <v>0</v>
      </c>
      <c r="L27" s="14" t="s">
        <v>79</v>
      </c>
      <c r="M27" s="15" t="s">
        <v>80</v>
      </c>
      <c r="N27" s="18" t="s">
        <v>20</v>
      </c>
      <c r="O27" s="25" t="s">
        <v>20</v>
      </c>
      <c r="P27" s="14" t="s">
        <v>8</v>
      </c>
    </row>
    <row r="28" spans="1:16" ht="18">
      <c r="A28" s="13">
        <v>25</v>
      </c>
      <c r="B28" s="14" t="s">
        <v>81</v>
      </c>
      <c r="C28" s="14" t="s">
        <v>6</v>
      </c>
      <c r="D28" s="14" t="s">
        <v>24</v>
      </c>
      <c r="E28" s="30" t="s">
        <v>24</v>
      </c>
      <c r="F28" s="14">
        <v>262.82</v>
      </c>
      <c r="G28" s="14">
        <v>147.649</v>
      </c>
      <c r="H28" s="14">
        <v>1641540</v>
      </c>
      <c r="I28" s="14">
        <v>101.2</v>
      </c>
      <c r="J28" s="14">
        <v>0</v>
      </c>
      <c r="K28" s="14">
        <v>0</v>
      </c>
      <c r="L28" s="14" t="s">
        <v>82</v>
      </c>
      <c r="M28" s="15" t="s">
        <v>83</v>
      </c>
      <c r="N28" s="16" t="s">
        <v>24</v>
      </c>
      <c r="O28" s="25" t="s">
        <v>24</v>
      </c>
      <c r="P28" s="14" t="s">
        <v>8</v>
      </c>
    </row>
    <row r="29" spans="1:16" ht="18">
      <c r="A29" s="13">
        <v>26</v>
      </c>
      <c r="B29" s="14" t="s">
        <v>84</v>
      </c>
      <c r="C29" s="14" t="s">
        <v>12</v>
      </c>
      <c r="D29" s="14" t="s">
        <v>13</v>
      </c>
      <c r="E29" s="34" t="s">
        <v>189</v>
      </c>
      <c r="F29" s="14">
        <v>4.6070000000000002</v>
      </c>
      <c r="G29" s="14">
        <v>8.1210000000000004</v>
      </c>
      <c r="H29" s="14">
        <v>294180</v>
      </c>
      <c r="I29" s="14">
        <v>122.2</v>
      </c>
      <c r="J29" s="14">
        <v>0</v>
      </c>
      <c r="K29" s="14">
        <v>0</v>
      </c>
      <c r="L29" s="14" t="s">
        <v>85</v>
      </c>
      <c r="M29" s="15" t="s">
        <v>86</v>
      </c>
      <c r="N29" s="18" t="s">
        <v>153</v>
      </c>
      <c r="O29" s="25" t="s">
        <v>214</v>
      </c>
      <c r="P29" s="14" t="s">
        <v>8</v>
      </c>
    </row>
    <row r="30" spans="1:16" ht="18">
      <c r="A30" s="13">
        <v>27</v>
      </c>
      <c r="B30" s="14" t="s">
        <v>87</v>
      </c>
      <c r="C30" s="14" t="s">
        <v>6</v>
      </c>
      <c r="D30" s="14" t="s">
        <v>212</v>
      </c>
      <c r="E30" s="35" t="s">
        <v>154</v>
      </c>
      <c r="F30" s="14">
        <v>88.539000000000001</v>
      </c>
      <c r="G30" s="14">
        <v>49.19</v>
      </c>
      <c r="H30" s="14">
        <v>519408</v>
      </c>
      <c r="I30" s="14">
        <v>103.6</v>
      </c>
      <c r="J30" s="14">
        <v>0</v>
      </c>
      <c r="K30" s="14">
        <v>0</v>
      </c>
      <c r="L30" s="14" t="s">
        <v>88</v>
      </c>
      <c r="M30" s="15" t="s">
        <v>89</v>
      </c>
      <c r="N30" s="23" t="s">
        <v>154</v>
      </c>
      <c r="O30" s="25" t="s">
        <v>206</v>
      </c>
      <c r="P30" s="14" t="s">
        <v>8</v>
      </c>
    </row>
    <row r="31" spans="1:16" ht="18">
      <c r="A31" s="13">
        <v>28</v>
      </c>
      <c r="B31" s="14" t="s">
        <v>90</v>
      </c>
      <c r="C31" s="14" t="s">
        <v>6</v>
      </c>
      <c r="D31" s="14" t="s">
        <v>55</v>
      </c>
      <c r="E31" s="31" t="s">
        <v>55</v>
      </c>
      <c r="F31" s="14">
        <v>102.389</v>
      </c>
      <c r="G31" s="14">
        <v>56.198</v>
      </c>
      <c r="H31" s="14">
        <v>574236</v>
      </c>
      <c r="I31" s="14">
        <v>103.2</v>
      </c>
      <c r="J31" s="14">
        <v>0</v>
      </c>
      <c r="K31" s="14">
        <v>0</v>
      </c>
      <c r="L31" s="14" t="s">
        <v>91</v>
      </c>
      <c r="M31" s="15" t="s">
        <v>92</v>
      </c>
      <c r="N31" s="18" t="s">
        <v>55</v>
      </c>
      <c r="O31" s="25" t="s">
        <v>55</v>
      </c>
      <c r="P31" s="14" t="s">
        <v>8</v>
      </c>
    </row>
    <row r="32" spans="1:16" ht="18">
      <c r="A32" s="13">
        <v>29</v>
      </c>
      <c r="B32" s="14" t="s">
        <v>93</v>
      </c>
      <c r="C32" s="14" t="s">
        <v>6</v>
      </c>
      <c r="D32" s="14" t="s">
        <v>55</v>
      </c>
      <c r="E32" s="30" t="s">
        <v>55</v>
      </c>
      <c r="F32" s="14">
        <v>98.852999999999994</v>
      </c>
      <c r="G32" s="14">
        <v>55</v>
      </c>
      <c r="H32" s="14">
        <v>504620</v>
      </c>
      <c r="I32" s="14">
        <v>103.3</v>
      </c>
      <c r="J32" s="14">
        <v>0</v>
      </c>
      <c r="K32" s="14">
        <v>0</v>
      </c>
      <c r="L32" s="14" t="s">
        <v>94</v>
      </c>
      <c r="M32" s="15" t="s">
        <v>95</v>
      </c>
      <c r="N32" s="16" t="s">
        <v>55</v>
      </c>
      <c r="O32" s="25" t="s">
        <v>55</v>
      </c>
      <c r="P32" s="14" t="s">
        <v>8</v>
      </c>
    </row>
    <row r="33" spans="1:16" ht="18">
      <c r="A33" s="13">
        <v>30</v>
      </c>
      <c r="B33" s="14" t="s">
        <v>96</v>
      </c>
      <c r="C33" s="14" t="s">
        <v>6</v>
      </c>
      <c r="D33" s="14" t="s">
        <v>24</v>
      </c>
      <c r="E33" s="31" t="s">
        <v>24</v>
      </c>
      <c r="F33" s="14">
        <v>203.64400000000001</v>
      </c>
      <c r="G33" s="14">
        <v>114.098</v>
      </c>
      <c r="H33" s="14">
        <v>1250856</v>
      </c>
      <c r="I33" s="14">
        <v>101.5</v>
      </c>
      <c r="J33" s="14">
        <v>0</v>
      </c>
      <c r="K33" s="14">
        <v>0</v>
      </c>
      <c r="L33" s="14" t="s">
        <v>97</v>
      </c>
      <c r="M33" s="15" t="s">
        <v>98</v>
      </c>
      <c r="N33" s="18" t="s">
        <v>24</v>
      </c>
      <c r="O33" s="25" t="s">
        <v>24</v>
      </c>
      <c r="P33" s="14" t="s">
        <v>8</v>
      </c>
    </row>
    <row r="34" spans="1:16" ht="18">
      <c r="A34" s="13">
        <v>31</v>
      </c>
      <c r="B34" s="14" t="s">
        <v>99</v>
      </c>
      <c r="C34" s="14" t="s">
        <v>6</v>
      </c>
      <c r="D34" s="14" t="s">
        <v>212</v>
      </c>
      <c r="E34" s="30" t="s">
        <v>154</v>
      </c>
      <c r="F34" s="14">
        <v>62.295999999999999</v>
      </c>
      <c r="G34" s="14">
        <v>37.874000000000002</v>
      </c>
      <c r="H34" s="14">
        <v>422936</v>
      </c>
      <c r="I34" s="14">
        <v>104.2</v>
      </c>
      <c r="J34" s="14">
        <v>0</v>
      </c>
      <c r="K34" s="14">
        <v>0</v>
      </c>
      <c r="L34" s="14" t="s">
        <v>100</v>
      </c>
      <c r="M34" s="15" t="s">
        <v>40</v>
      </c>
      <c r="N34" s="16" t="s">
        <v>154</v>
      </c>
      <c r="O34" s="25" t="s">
        <v>206</v>
      </c>
      <c r="P34" s="14" t="s">
        <v>8</v>
      </c>
    </row>
    <row r="35" spans="1:16" ht="18">
      <c r="A35" s="13">
        <v>32</v>
      </c>
      <c r="B35" s="14" t="s">
        <v>101</v>
      </c>
      <c r="C35" s="14" t="s">
        <v>6</v>
      </c>
      <c r="D35" s="14" t="s">
        <v>55</v>
      </c>
      <c r="E35" s="31" t="s">
        <v>55</v>
      </c>
      <c r="F35" s="14">
        <v>130.369</v>
      </c>
      <c r="G35" s="14">
        <v>71.727999999999994</v>
      </c>
      <c r="H35" s="14">
        <v>740220</v>
      </c>
      <c r="I35" s="14">
        <v>102.5</v>
      </c>
      <c r="J35" s="14">
        <v>0</v>
      </c>
      <c r="K35" s="14">
        <v>0</v>
      </c>
      <c r="L35" s="14" t="s">
        <v>102</v>
      </c>
      <c r="M35" s="15" t="s">
        <v>103</v>
      </c>
      <c r="N35" s="18" t="s">
        <v>55</v>
      </c>
      <c r="O35" s="25" t="s">
        <v>55</v>
      </c>
      <c r="P35" s="14" t="s">
        <v>8</v>
      </c>
    </row>
    <row r="36" spans="1:16" ht="18">
      <c r="A36" s="13">
        <v>33</v>
      </c>
      <c r="B36" s="14" t="s">
        <v>104</v>
      </c>
      <c r="C36" s="14" t="s">
        <v>6</v>
      </c>
      <c r="D36" s="14" t="s">
        <v>69</v>
      </c>
      <c r="E36" s="30" t="s">
        <v>69</v>
      </c>
      <c r="F36" s="14">
        <v>105.77800000000001</v>
      </c>
      <c r="G36" s="14">
        <v>58.307000000000002</v>
      </c>
      <c r="H36" s="14">
        <v>556720</v>
      </c>
      <c r="I36" s="14">
        <v>103.1</v>
      </c>
      <c r="J36" s="14">
        <v>0</v>
      </c>
      <c r="K36" s="14">
        <v>0</v>
      </c>
      <c r="L36" s="14" t="s">
        <v>105</v>
      </c>
      <c r="M36" s="15" t="s">
        <v>106</v>
      </c>
      <c r="N36" s="23" t="s">
        <v>155</v>
      </c>
      <c r="O36" s="25" t="s">
        <v>69</v>
      </c>
      <c r="P36" s="14" t="s">
        <v>8</v>
      </c>
    </row>
    <row r="37" spans="1:16" ht="18">
      <c r="A37" s="13">
        <v>34</v>
      </c>
      <c r="B37" s="14" t="s">
        <v>107</v>
      </c>
      <c r="C37" s="14" t="s">
        <v>6</v>
      </c>
      <c r="D37" s="14" t="s">
        <v>7</v>
      </c>
      <c r="E37" s="31" t="s">
        <v>7</v>
      </c>
      <c r="F37" s="14">
        <v>88.85</v>
      </c>
      <c r="G37" s="14">
        <v>54.8</v>
      </c>
      <c r="H37" s="14">
        <v>549852</v>
      </c>
      <c r="I37" s="14">
        <v>103.3</v>
      </c>
      <c r="J37" s="14">
        <v>0</v>
      </c>
      <c r="K37" s="14">
        <v>0</v>
      </c>
      <c r="L37" s="14" t="s">
        <v>108</v>
      </c>
      <c r="M37" s="15" t="s">
        <v>95</v>
      </c>
      <c r="N37" s="18" t="s">
        <v>7</v>
      </c>
      <c r="O37" s="25" t="s">
        <v>7</v>
      </c>
      <c r="P37" s="14" t="s">
        <v>8</v>
      </c>
    </row>
    <row r="38" spans="1:16" ht="18">
      <c r="A38" s="13">
        <v>35</v>
      </c>
      <c r="B38" s="14" t="s">
        <v>109</v>
      </c>
      <c r="C38" s="14" t="s">
        <v>6</v>
      </c>
      <c r="D38" s="14" t="s">
        <v>7</v>
      </c>
      <c r="E38" s="30" t="s">
        <v>7</v>
      </c>
      <c r="F38" s="14">
        <v>71.043999999999997</v>
      </c>
      <c r="G38" s="14">
        <v>44.478999999999999</v>
      </c>
      <c r="H38" s="14">
        <v>342240</v>
      </c>
      <c r="I38" s="14">
        <v>104</v>
      </c>
      <c r="J38" s="14">
        <v>0</v>
      </c>
      <c r="K38" s="14">
        <v>0</v>
      </c>
      <c r="L38" s="14" t="s">
        <v>110</v>
      </c>
      <c r="M38" s="15" t="s">
        <v>43</v>
      </c>
      <c r="N38" s="16" t="s">
        <v>7</v>
      </c>
      <c r="O38" s="25" t="s">
        <v>7</v>
      </c>
      <c r="P38" s="14" t="s">
        <v>8</v>
      </c>
    </row>
    <row r="39" spans="1:16" ht="18">
      <c r="A39" s="13">
        <v>36</v>
      </c>
      <c r="B39" s="14" t="s">
        <v>111</v>
      </c>
      <c r="C39" s="14" t="s">
        <v>6</v>
      </c>
      <c r="D39" s="14" t="s">
        <v>24</v>
      </c>
      <c r="E39" s="31" t="s">
        <v>24</v>
      </c>
      <c r="F39" s="14">
        <v>19.408999999999999</v>
      </c>
      <c r="G39" s="14">
        <v>15.035</v>
      </c>
      <c r="H39" s="14">
        <v>292844</v>
      </c>
      <c r="I39" s="14">
        <v>111.6</v>
      </c>
      <c r="J39" s="14">
        <v>0</v>
      </c>
      <c r="K39" s="14">
        <v>0</v>
      </c>
      <c r="L39" s="14" t="s">
        <v>112</v>
      </c>
      <c r="M39" s="15" t="s">
        <v>113</v>
      </c>
      <c r="N39" s="18" t="s">
        <v>24</v>
      </c>
      <c r="O39" s="25" t="s">
        <v>24</v>
      </c>
      <c r="P39" s="14" t="s">
        <v>8</v>
      </c>
    </row>
    <row r="40" spans="1:16" s="2" customFormat="1" ht="18">
      <c r="A40" s="19">
        <v>37</v>
      </c>
      <c r="B40" s="20" t="s">
        <v>114</v>
      </c>
      <c r="C40" s="20" t="s">
        <v>12</v>
      </c>
      <c r="D40" s="20" t="s">
        <v>13</v>
      </c>
      <c r="E40" s="33" t="s">
        <v>59</v>
      </c>
      <c r="F40" s="20">
        <v>9.4169999999999998</v>
      </c>
      <c r="G40" s="20">
        <v>23.151</v>
      </c>
      <c r="H40" s="20">
        <v>281748</v>
      </c>
      <c r="I40" s="20">
        <v>107.8</v>
      </c>
      <c r="J40" s="20">
        <v>0</v>
      </c>
      <c r="K40" s="20">
        <v>0</v>
      </c>
      <c r="L40" s="20" t="s">
        <v>115</v>
      </c>
      <c r="M40" s="21" t="s">
        <v>116</v>
      </c>
      <c r="N40" s="16" t="s">
        <v>156</v>
      </c>
      <c r="O40" s="25" t="s">
        <v>59</v>
      </c>
      <c r="P40" s="20" t="s">
        <v>8</v>
      </c>
    </row>
    <row r="41" spans="1:16" s="2" customFormat="1" ht="18">
      <c r="A41" s="19">
        <v>38</v>
      </c>
      <c r="B41" s="20" t="s">
        <v>117</v>
      </c>
      <c r="C41" s="20" t="s">
        <v>12</v>
      </c>
      <c r="D41" s="20" t="s">
        <v>13</v>
      </c>
      <c r="E41" s="36" t="s">
        <v>59</v>
      </c>
      <c r="F41" s="20">
        <v>8.8109999999999999</v>
      </c>
      <c r="G41" s="20">
        <v>17.84</v>
      </c>
      <c r="H41" s="20">
        <v>302748</v>
      </c>
      <c r="I41" s="20">
        <v>109.7</v>
      </c>
      <c r="J41" s="20">
        <v>0</v>
      </c>
      <c r="K41" s="20">
        <v>0</v>
      </c>
      <c r="L41" s="20" t="s">
        <v>118</v>
      </c>
      <c r="M41" s="21" t="s">
        <v>119</v>
      </c>
      <c r="N41" s="18" t="s">
        <v>156</v>
      </c>
      <c r="O41" s="25" t="s">
        <v>59</v>
      </c>
      <c r="P41" s="20" t="s">
        <v>8</v>
      </c>
    </row>
    <row r="42" spans="1:16" s="2" customFormat="1" ht="18">
      <c r="A42" s="19">
        <v>39</v>
      </c>
      <c r="B42" s="20" t="s">
        <v>120</v>
      </c>
      <c r="C42" s="20" t="s">
        <v>12</v>
      </c>
      <c r="D42" s="20" t="s">
        <v>13</v>
      </c>
      <c r="E42" s="33" t="s">
        <v>59</v>
      </c>
      <c r="F42" s="20">
        <v>6.0259999999999998</v>
      </c>
      <c r="G42" s="20">
        <v>16.643999999999998</v>
      </c>
      <c r="H42" s="20">
        <v>308628</v>
      </c>
      <c r="I42" s="20">
        <v>110.9</v>
      </c>
      <c r="J42" s="20">
        <v>0</v>
      </c>
      <c r="K42" s="20">
        <v>0</v>
      </c>
      <c r="L42" s="20" t="s">
        <v>121</v>
      </c>
      <c r="M42" s="21" t="s">
        <v>122</v>
      </c>
      <c r="N42" s="16" t="s">
        <v>156</v>
      </c>
      <c r="O42" s="25" t="s">
        <v>207</v>
      </c>
      <c r="P42" s="20" t="s">
        <v>8</v>
      </c>
    </row>
    <row r="43" spans="1:16" ht="18">
      <c r="A43" s="13">
        <v>40</v>
      </c>
      <c r="B43" s="14" t="s">
        <v>123</v>
      </c>
      <c r="C43" s="14" t="s">
        <v>12</v>
      </c>
      <c r="D43" s="14" t="s">
        <v>13</v>
      </c>
      <c r="E43" s="31" t="s">
        <v>190</v>
      </c>
      <c r="F43" s="14">
        <v>25.26</v>
      </c>
      <c r="G43" s="14">
        <v>12.430999999999999</v>
      </c>
      <c r="H43" s="14">
        <v>313120</v>
      </c>
      <c r="I43" s="14">
        <v>114.6</v>
      </c>
      <c r="J43" s="14">
        <v>0</v>
      </c>
      <c r="K43" s="14">
        <v>0</v>
      </c>
      <c r="L43" s="14" t="s">
        <v>124</v>
      </c>
      <c r="M43" s="15" t="s">
        <v>11</v>
      </c>
      <c r="N43" s="18" t="s">
        <v>157</v>
      </c>
      <c r="O43" s="25" t="s">
        <v>208</v>
      </c>
      <c r="P43" s="14" t="s">
        <v>8</v>
      </c>
    </row>
    <row r="44" spans="1:16" ht="18">
      <c r="A44" s="13">
        <v>41</v>
      </c>
      <c r="B44" s="14" t="s">
        <v>125</v>
      </c>
      <c r="C44" s="14" t="s">
        <v>12</v>
      </c>
      <c r="D44" s="14" t="s">
        <v>13</v>
      </c>
      <c r="E44" s="30" t="s">
        <v>191</v>
      </c>
      <c r="F44" s="14">
        <v>25.693000000000001</v>
      </c>
      <c r="G44" s="14">
        <v>12.332000000000001</v>
      </c>
      <c r="H44" s="14">
        <v>327904</v>
      </c>
      <c r="I44" s="14">
        <v>114.5</v>
      </c>
      <c r="J44" s="14">
        <v>0</v>
      </c>
      <c r="K44" s="14">
        <v>0</v>
      </c>
      <c r="L44" s="14" t="s">
        <v>126</v>
      </c>
      <c r="M44" s="15" t="s">
        <v>11</v>
      </c>
      <c r="N44" s="16" t="s">
        <v>157</v>
      </c>
      <c r="O44" s="25" t="s">
        <v>208</v>
      </c>
      <c r="P44" s="14" t="s">
        <v>8</v>
      </c>
    </row>
    <row r="45" spans="1:16" ht="18">
      <c r="A45" s="13">
        <v>42</v>
      </c>
      <c r="B45" s="14" t="s">
        <v>127</v>
      </c>
      <c r="C45" s="14" t="s">
        <v>6</v>
      </c>
      <c r="D45" s="14" t="s">
        <v>24</v>
      </c>
      <c r="E45" s="31" t="s">
        <v>24</v>
      </c>
      <c r="F45" s="14">
        <v>76.927000000000007</v>
      </c>
      <c r="G45" s="14">
        <v>47.991</v>
      </c>
      <c r="H45" s="14">
        <v>504816</v>
      </c>
      <c r="I45" s="14">
        <v>103.8</v>
      </c>
      <c r="J45" s="14">
        <v>0</v>
      </c>
      <c r="K45" s="14">
        <v>0</v>
      </c>
      <c r="L45" s="14" t="s">
        <v>128</v>
      </c>
      <c r="M45" s="15" t="s">
        <v>129</v>
      </c>
      <c r="N45" s="18" t="s">
        <v>24</v>
      </c>
      <c r="O45" s="25" t="s">
        <v>24</v>
      </c>
      <c r="P45" s="14" t="s">
        <v>8</v>
      </c>
    </row>
    <row r="46" spans="1:16" ht="18">
      <c r="A46" s="13">
        <v>43</v>
      </c>
      <c r="B46" s="14" t="s">
        <v>130</v>
      </c>
      <c r="C46" s="14" t="s">
        <v>6</v>
      </c>
      <c r="D46" s="14" t="s">
        <v>7</v>
      </c>
      <c r="E46" s="30" t="s">
        <v>7</v>
      </c>
      <c r="F46" s="14">
        <v>149.94499999999999</v>
      </c>
      <c r="G46" s="14">
        <v>86.447999999999993</v>
      </c>
      <c r="H46" s="14">
        <v>852360</v>
      </c>
      <c r="I46" s="14">
        <v>102</v>
      </c>
      <c r="J46" s="14">
        <v>0</v>
      </c>
      <c r="K46" s="14">
        <v>0</v>
      </c>
      <c r="L46" s="14" t="s">
        <v>131</v>
      </c>
      <c r="M46" s="15" t="s">
        <v>132</v>
      </c>
      <c r="N46" s="16" t="s">
        <v>7</v>
      </c>
      <c r="O46" s="25" t="s">
        <v>7</v>
      </c>
      <c r="P46" s="14" t="s">
        <v>8</v>
      </c>
    </row>
    <row r="47" spans="1:16" s="2" customFormat="1" ht="18">
      <c r="A47" s="19">
        <v>44</v>
      </c>
      <c r="B47" s="20" t="s">
        <v>133</v>
      </c>
      <c r="C47" s="20" t="s">
        <v>12</v>
      </c>
      <c r="D47" s="20" t="s">
        <v>13</v>
      </c>
      <c r="E47" s="36" t="s">
        <v>7</v>
      </c>
      <c r="F47" s="20">
        <v>157.08600000000001</v>
      </c>
      <c r="G47" s="20">
        <v>100.373</v>
      </c>
      <c r="H47" s="20">
        <v>1018684</v>
      </c>
      <c r="I47" s="20">
        <v>101.8</v>
      </c>
      <c r="J47" s="20">
        <v>0</v>
      </c>
      <c r="K47" s="20">
        <v>0</v>
      </c>
      <c r="L47" s="20" t="s">
        <v>134</v>
      </c>
      <c r="M47" s="21" t="s">
        <v>135</v>
      </c>
      <c r="N47" s="18" t="s">
        <v>7</v>
      </c>
      <c r="O47" s="25" t="s">
        <v>7</v>
      </c>
      <c r="P47" s="20" t="s">
        <v>8</v>
      </c>
    </row>
    <row r="48" spans="1:16" ht="18">
      <c r="A48" s="13">
        <v>45</v>
      </c>
      <c r="B48" s="14" t="s">
        <v>136</v>
      </c>
      <c r="C48" s="14" t="s">
        <v>6</v>
      </c>
      <c r="D48" s="14" t="s">
        <v>7</v>
      </c>
      <c r="E48" s="30" t="s">
        <v>7</v>
      </c>
      <c r="F48" s="14">
        <v>257.084</v>
      </c>
      <c r="G48" s="14">
        <v>129.33000000000001</v>
      </c>
      <c r="H48" s="14">
        <v>1411844</v>
      </c>
      <c r="I48" s="14">
        <v>101.4</v>
      </c>
      <c r="J48" s="14">
        <v>0</v>
      </c>
      <c r="K48" s="14">
        <v>0</v>
      </c>
      <c r="L48" s="14" t="s">
        <v>137</v>
      </c>
      <c r="M48" s="15" t="s">
        <v>138</v>
      </c>
      <c r="N48" s="23" t="s">
        <v>158</v>
      </c>
      <c r="O48" s="25" t="s">
        <v>7</v>
      </c>
      <c r="P48" s="14" t="s">
        <v>8</v>
      </c>
    </row>
    <row r="49" spans="1:16" ht="18">
      <c r="A49" s="13">
        <v>46</v>
      </c>
      <c r="B49" s="14" t="s">
        <v>139</v>
      </c>
      <c r="C49" s="14" t="s">
        <v>6</v>
      </c>
      <c r="D49" s="14" t="s">
        <v>7</v>
      </c>
      <c r="E49" s="31" t="s">
        <v>7</v>
      </c>
      <c r="F49" s="14">
        <v>95.094999999999999</v>
      </c>
      <c r="G49" s="14">
        <v>69.224000000000004</v>
      </c>
      <c r="H49" s="14">
        <v>1017156</v>
      </c>
      <c r="I49" s="14">
        <v>102.5</v>
      </c>
      <c r="J49" s="14">
        <v>0</v>
      </c>
      <c r="K49" s="14">
        <v>0</v>
      </c>
      <c r="L49" s="14" t="s">
        <v>140</v>
      </c>
      <c r="M49" s="15" t="s">
        <v>141</v>
      </c>
      <c r="N49" s="18" t="s">
        <v>159</v>
      </c>
      <c r="O49" s="25" t="s">
        <v>203</v>
      </c>
      <c r="P49" s="14" t="s">
        <v>8</v>
      </c>
    </row>
    <row r="50" spans="1:16" ht="18">
      <c r="A50" s="13">
        <v>47</v>
      </c>
      <c r="B50" s="14" t="s">
        <v>142</v>
      </c>
      <c r="C50" s="14" t="s">
        <v>6</v>
      </c>
      <c r="D50" s="14" t="s">
        <v>7</v>
      </c>
      <c r="E50" s="30" t="s">
        <v>7</v>
      </c>
      <c r="F50" s="14">
        <v>196.89500000000001</v>
      </c>
      <c r="G50" s="14">
        <v>98.772999999999996</v>
      </c>
      <c r="H50" s="14">
        <v>1234232</v>
      </c>
      <c r="I50" s="14">
        <v>101.7</v>
      </c>
      <c r="J50" s="14">
        <v>0</v>
      </c>
      <c r="K50" s="14">
        <v>0</v>
      </c>
      <c r="L50" s="14" t="s">
        <v>143</v>
      </c>
      <c r="M50" s="15" t="s">
        <v>144</v>
      </c>
      <c r="N50" s="16" t="s">
        <v>7</v>
      </c>
      <c r="O50" s="25" t="s">
        <v>7</v>
      </c>
      <c r="P50" s="14" t="s">
        <v>8</v>
      </c>
    </row>
    <row r="51" spans="1:16" ht="18">
      <c r="A51" s="13">
        <v>48</v>
      </c>
      <c r="B51" s="14" t="s">
        <v>145</v>
      </c>
      <c r="C51" s="14" t="s">
        <v>12</v>
      </c>
      <c r="D51" s="14" t="s">
        <v>13</v>
      </c>
      <c r="E51" s="31" t="s">
        <v>192</v>
      </c>
      <c r="F51" s="14">
        <v>133.733</v>
      </c>
      <c r="G51" s="14">
        <v>78.736000000000004</v>
      </c>
      <c r="H51" s="14">
        <v>822704</v>
      </c>
      <c r="I51" s="14">
        <v>102.3</v>
      </c>
      <c r="J51" s="14">
        <v>0</v>
      </c>
      <c r="K51" s="14">
        <v>0</v>
      </c>
      <c r="L51" s="14" t="s">
        <v>146</v>
      </c>
      <c r="M51" s="15" t="s">
        <v>147</v>
      </c>
      <c r="N51" s="18" t="s">
        <v>160</v>
      </c>
      <c r="O51" s="25" t="s">
        <v>187</v>
      </c>
      <c r="P51" s="14" t="s">
        <v>8</v>
      </c>
    </row>
    <row r="52" spans="1:16" ht="18">
      <c r="A52" s="13">
        <v>49</v>
      </c>
      <c r="B52" s="14" t="s">
        <v>148</v>
      </c>
      <c r="C52" s="14" t="s">
        <v>12</v>
      </c>
      <c r="D52" s="14" t="s">
        <v>13</v>
      </c>
      <c r="E52" s="30" t="s">
        <v>187</v>
      </c>
      <c r="F52" s="14">
        <v>95.695999999999998</v>
      </c>
      <c r="G52" s="14">
        <v>55.804000000000002</v>
      </c>
      <c r="H52" s="14">
        <v>572096</v>
      </c>
      <c r="I52" s="14">
        <v>103.2</v>
      </c>
      <c r="J52" s="14">
        <v>0</v>
      </c>
      <c r="K52" s="14">
        <v>0</v>
      </c>
      <c r="L52" s="14" t="s">
        <v>149</v>
      </c>
      <c r="M52" s="15" t="s">
        <v>92</v>
      </c>
      <c r="N52" s="16" t="s">
        <v>161</v>
      </c>
      <c r="O52" s="25" t="s">
        <v>187</v>
      </c>
      <c r="P52" s="14" t="s">
        <v>8</v>
      </c>
    </row>
    <row r="53" spans="1:16" ht="18">
      <c r="A53" s="13">
        <v>50</v>
      </c>
      <c r="B53" s="14" t="s">
        <v>150</v>
      </c>
      <c r="C53" s="14" t="s">
        <v>6</v>
      </c>
      <c r="D53" s="14" t="s">
        <v>24</v>
      </c>
      <c r="E53" s="31" t="s">
        <v>24</v>
      </c>
      <c r="F53" s="14">
        <v>99.6</v>
      </c>
      <c r="G53" s="14">
        <v>62.317</v>
      </c>
      <c r="H53" s="14">
        <v>699004</v>
      </c>
      <c r="I53" s="14">
        <v>102.7</v>
      </c>
      <c r="J53" s="14">
        <v>0</v>
      </c>
      <c r="K53" s="14">
        <v>0</v>
      </c>
      <c r="L53" s="14" t="s">
        <v>151</v>
      </c>
      <c r="M53" s="15" t="s">
        <v>152</v>
      </c>
      <c r="N53" s="18" t="s">
        <v>24</v>
      </c>
      <c r="O53" s="25" t="s">
        <v>24</v>
      </c>
      <c r="P53" s="14" t="s">
        <v>8</v>
      </c>
    </row>
    <row r="54" spans="1:16" ht="13.15">
      <c r="A54" s="7"/>
      <c r="B54" s="4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7"/>
      <c r="B55" s="38" t="s">
        <v>210</v>
      </c>
      <c r="C55" s="8"/>
      <c r="D55" s="8"/>
      <c r="E55" s="8"/>
      <c r="F55" s="8"/>
      <c r="G55" s="8"/>
      <c r="H55" s="8"/>
      <c r="I55" s="8"/>
      <c r="N55" s="8"/>
      <c r="O55" s="8"/>
      <c r="P55" s="8"/>
    </row>
    <row r="56" spans="1:16" s="28" customFormat="1" ht="15">
      <c r="A56" s="25"/>
      <c r="B56" s="39" t="s">
        <v>216</v>
      </c>
      <c r="C56" s="26"/>
      <c r="D56" s="26"/>
      <c r="E56" s="26"/>
      <c r="F56" s="26"/>
      <c r="G56" s="26"/>
      <c r="H56" s="26"/>
      <c r="I56" s="26"/>
      <c r="N56" s="26"/>
      <c r="O56" s="26"/>
      <c r="P56" s="26"/>
    </row>
    <row r="57" spans="1:16" s="28" customFormat="1" ht="15">
      <c r="A57" s="25"/>
      <c r="B57" s="40" t="s">
        <v>215</v>
      </c>
      <c r="C57" s="26"/>
      <c r="D57" s="26"/>
      <c r="E57" s="26"/>
      <c r="F57" s="26"/>
      <c r="G57" s="26"/>
      <c r="H57" s="26"/>
      <c r="I57" s="26"/>
      <c r="N57" s="26"/>
      <c r="O57" s="26"/>
      <c r="P57" s="26"/>
    </row>
    <row r="58" spans="1:16">
      <c r="A58" s="7"/>
      <c r="B58" s="24"/>
      <c r="C58" s="8"/>
      <c r="D58" s="8"/>
      <c r="E58" s="8"/>
      <c r="F58" s="8"/>
      <c r="G58" s="8"/>
      <c r="H58" s="8"/>
      <c r="I58" s="8"/>
      <c r="N58" s="8"/>
      <c r="O58" s="8"/>
      <c r="P58" s="8"/>
    </row>
    <row r="59" spans="1:16" ht="13.9">
      <c r="A59" s="7"/>
      <c r="B59" s="8"/>
      <c r="C59" s="4" t="s">
        <v>168</v>
      </c>
      <c r="D59" s="7"/>
      <c r="E59" s="8"/>
      <c r="F59" s="8"/>
      <c r="G59" s="8"/>
      <c r="H59" s="8"/>
      <c r="I59" s="8"/>
      <c r="N59" s="8"/>
      <c r="O59" s="8"/>
      <c r="P59" s="8"/>
    </row>
    <row r="60" spans="1:16" ht="15">
      <c r="A60" s="7"/>
      <c r="B60" s="8"/>
      <c r="C60" s="5" t="s">
        <v>169</v>
      </c>
      <c r="D60" s="6">
        <f>COUNTA(J4:J53)</f>
        <v>50</v>
      </c>
      <c r="E60" s="8"/>
      <c r="F60" s="27" t="s">
        <v>176</v>
      </c>
      <c r="G60" s="8"/>
      <c r="H60" s="42">
        <v>0.12</v>
      </c>
      <c r="I60" s="8"/>
      <c r="N60" s="8"/>
      <c r="O60" s="8"/>
      <c r="P60" s="8"/>
    </row>
    <row r="61" spans="1:16" ht="15">
      <c r="A61" s="7"/>
      <c r="B61" s="8"/>
      <c r="C61" s="5" t="s">
        <v>170</v>
      </c>
      <c r="D61" s="6">
        <f>SUM(G4:G53)</f>
        <v>4151.3749999999982</v>
      </c>
      <c r="E61" s="8" t="s">
        <v>198</v>
      </c>
      <c r="F61" s="27" t="s">
        <v>211</v>
      </c>
      <c r="G61" s="8"/>
      <c r="H61" s="8"/>
      <c r="I61" s="8"/>
      <c r="N61" s="8"/>
      <c r="O61" s="8"/>
      <c r="P61" s="8"/>
    </row>
    <row r="62" spans="1:16" ht="13.15">
      <c r="A62" s="7"/>
      <c r="B62" s="8"/>
      <c r="C62" s="5" t="s">
        <v>171</v>
      </c>
      <c r="D62" s="6">
        <f>AVERAGE(G4:G53)</f>
        <v>83.027499999999961</v>
      </c>
      <c r="E62" s="8" t="s">
        <v>199</v>
      </c>
      <c r="F62" s="8"/>
      <c r="G62" s="8"/>
      <c r="H62" s="8"/>
      <c r="I62" s="8"/>
      <c r="N62" s="8"/>
      <c r="O62" s="8"/>
      <c r="P62" s="8"/>
    </row>
    <row r="63" spans="1:16" ht="13.15">
      <c r="A63" s="7"/>
      <c r="B63" s="8"/>
      <c r="C63" s="5" t="s">
        <v>172</v>
      </c>
      <c r="D63" s="6">
        <f>AVERAGE(H4:H53)</f>
        <v>962580.88</v>
      </c>
      <c r="E63" s="8" t="s">
        <v>185</v>
      </c>
      <c r="F63" s="8"/>
      <c r="G63" s="8"/>
      <c r="H63" s="8"/>
      <c r="I63" s="8"/>
      <c r="N63" s="8"/>
      <c r="O63" s="8"/>
      <c r="P63" s="8"/>
    </row>
    <row r="64" spans="1:16" ht="13.15">
      <c r="A64" s="7"/>
      <c r="B64" s="8"/>
      <c r="C64" s="5" t="s">
        <v>175</v>
      </c>
      <c r="D64" s="6">
        <f>MAX(J4:J53)</f>
        <v>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2:16" ht="13.15">
      <c r="B65" s="1"/>
      <c r="C65" s="5" t="s">
        <v>183</v>
      </c>
      <c r="D65" s="6">
        <f>SUM(F4:F53)</f>
        <v>7079.2890000000007</v>
      </c>
      <c r="E65" s="8" t="s">
        <v>184</v>
      </c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ht="13.15">
      <c r="C66" s="5" t="s">
        <v>213</v>
      </c>
      <c r="D66">
        <f>MAX(I4:I53)</f>
        <v>182.4</v>
      </c>
      <c r="E66" s="8"/>
      <c r="F66" s="8"/>
    </row>
    <row r="67" spans="2:16" ht="13.15">
      <c r="C67" s="5" t="s">
        <v>174</v>
      </c>
      <c r="D67" s="6">
        <f>COUNTIF(P4:P53,"SUCCESS")</f>
        <v>50</v>
      </c>
      <c r="E67" s="8"/>
      <c r="F67" s="8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ESKAPEE_CMD_classification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Suraiya Jabin</dc:creator>
  <cp:lastModifiedBy>Suraiya Jabin</cp:lastModifiedBy>
  <cp:revision>1</cp:revision>
  <dcterms:created xsi:type="dcterms:W3CDTF">2026-06-01T01:19:00Z</dcterms:created>
  <dcterms:modified xsi:type="dcterms:W3CDTF">2026-06-06T01:09:56Z</dcterms:modified>
</cp:coreProperties>
</file>